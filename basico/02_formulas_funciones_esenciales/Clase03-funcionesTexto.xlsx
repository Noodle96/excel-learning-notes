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2_formulas_funciones_esenciales\"/>
    </mc:Choice>
  </mc:AlternateContent>
  <xr:revisionPtr revIDLastSave="0" documentId="13_ncr:1_{5A51FA49-1876-42B9-96FB-9AC0319FB44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ro" sheetId="1" r:id="rId1"/>
    <sheet name="Concatenar" sheetId="2" r:id="rId2"/>
    <sheet name="IZQ-DER" sheetId="3" r:id="rId3"/>
    <sheet name="Espacios Limpi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x/FvgXiQKu7DvV3ovbR8SgRk+NpVOuO56g3OWMPG8LA="/>
    </ext>
  </extLst>
</workbook>
</file>

<file path=xl/calcChain.xml><?xml version="1.0" encoding="utf-8"?>
<calcChain xmlns="http://schemas.openxmlformats.org/spreadsheetml/2006/main">
  <c r="E11" i="4" l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10" i="4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10" i="3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</calcChain>
</file>

<file path=xl/sharedStrings.xml><?xml version="1.0" encoding="utf-8"?>
<sst xmlns="http://schemas.openxmlformats.org/spreadsheetml/2006/main" count="157" uniqueCount="113">
  <si>
    <t>Módulo 2</t>
  </si>
  <si>
    <t>Fórmulas y Funciones Esenciales</t>
  </si>
  <si>
    <t>Cuando Excel también escribe: trucos con texto</t>
  </si>
  <si>
    <t>CONCATENAR, &amp;, IZQUIERDA, DERECHA, ESPACIOS, LIMPIAR</t>
  </si>
  <si>
    <t>Profe: @soydatadani</t>
  </si>
  <si>
    <t>Movimiento</t>
  </si>
  <si>
    <t>Concepto</t>
  </si>
  <si>
    <t>Monto</t>
  </si>
  <si>
    <t>Pago</t>
  </si>
  <si>
    <t>Descripción completa (Fórmula)</t>
  </si>
  <si>
    <t>Descripción completa (&amp;)</t>
  </si>
  <si>
    <t>Descripción Completa con texto adicional</t>
  </si>
  <si>
    <t>Spotify Premium</t>
  </si>
  <si>
    <t>Tarjeta</t>
  </si>
  <si>
    <t>Identifica para que te sirve la función concatenar</t>
  </si>
  <si>
    <t>Netflix</t>
  </si>
  <si>
    <t>Utiliza la función para lograr unir la información de la coluna B hasta la E</t>
  </si>
  <si>
    <t>Uber</t>
  </si>
  <si>
    <t>Efectivo</t>
  </si>
  <si>
    <t xml:space="preserve">Utiliza "&amp;" para  unir la información de la columna de la B hasta la E. </t>
  </si>
  <si>
    <t>Starbucks</t>
  </si>
  <si>
    <t>Supermercado</t>
  </si>
  <si>
    <t>Tienda de ropa</t>
  </si>
  <si>
    <t>Suscripción Figma</t>
  </si>
  <si>
    <t>Amazon</t>
  </si>
  <si>
    <t>Cine</t>
  </si>
  <si>
    <t>Farmacia</t>
  </si>
  <si>
    <t>Restaurante</t>
  </si>
  <si>
    <t>Gimnasio</t>
  </si>
  <si>
    <t>Suscripción Notion</t>
  </si>
  <si>
    <t>Café local</t>
  </si>
  <si>
    <t>Tienda de arte</t>
  </si>
  <si>
    <t>Librería</t>
  </si>
  <si>
    <t>Pago de celular</t>
  </si>
  <si>
    <t>Gasolina</t>
  </si>
  <si>
    <t>Renta de bici</t>
  </si>
  <si>
    <t>Snacks</t>
  </si>
  <si>
    <t>Código de Movimiento</t>
  </si>
  <si>
    <t>Izquierda</t>
  </si>
  <si>
    <t>Extraer</t>
  </si>
  <si>
    <t>Derecha</t>
  </si>
  <si>
    <t>GST-FIX-ENT-0825</t>
  </si>
  <si>
    <t>Identifica para que te sirven estas funciones de texto y comparte un caso</t>
  </si>
  <si>
    <t>ING-FIX-EDU-0625</t>
  </si>
  <si>
    <t>Identifica, ¿Es un Gasto o Ingreso? (está en los primeros 3 caracteres)</t>
  </si>
  <si>
    <t>GST-VAR-SUS-0825</t>
  </si>
  <si>
    <t>Identifica , ¿Es un movimiento fijo o variable? (3 dígitos intermedios)</t>
  </si>
  <si>
    <t>Identifica , ¿Cuál es la Fecha/Mes del movimiento? (4 dígitos finales)</t>
  </si>
  <si>
    <t>ING-VAR-COM-0825</t>
  </si>
  <si>
    <t>GST-VAR-EDU-0725</t>
  </si>
  <si>
    <t>GST-VAR-SAL-0725</t>
  </si>
  <si>
    <t>GST-VAR-SUS-0625</t>
  </si>
  <si>
    <t>GST-FIX-COM-0825</t>
  </si>
  <si>
    <t>GST-VAR-SUS-0725</t>
  </si>
  <si>
    <t>ING-VAR-EDU-0725</t>
  </si>
  <si>
    <t>GST-FIX-SUS-0825</t>
  </si>
  <si>
    <t>ING-VAR-ENT-0825</t>
  </si>
  <si>
    <t>ING-FIX-COM-0725</t>
  </si>
  <si>
    <t>GST-FIX-SUS-0725</t>
  </si>
  <si>
    <t>GST-VAR-ENT-0725</t>
  </si>
  <si>
    <t>GST-VAR-EDU-0625</t>
  </si>
  <si>
    <t>ING-FIX-SUS-0625</t>
  </si>
  <si>
    <t>ING-VAR-ENT-0725</t>
  </si>
  <si>
    <t>Nombre sucio</t>
  </si>
  <si>
    <t>Espacios</t>
  </si>
  <si>
    <t>Limpiar</t>
  </si>
  <si>
    <t>Espacios + Limpiar</t>
  </si>
  <si>
    <t>Resultado con "Pegar Valores"</t>
  </si>
  <si>
    <t xml:space="preserve">   Netflix   Premium </t>
  </si>
  <si>
    <t>Detecta celdas con texto que tenga espacios extra o caracteres raros</t>
  </si>
  <si>
    <t>Aplica la función =ESPACIOS(A2) para quitar espacios al inicio y final</t>
  </si>
  <si>
    <t>Aplica la función =LIMPIAR(A2) para eliminar caracteres no imprimibles</t>
  </si>
  <si>
    <t>Clases de Yoga   </t>
  </si>
  <si>
    <t>Combina ambas funciones así: =ESPACIOS(LIMPIAR(A2))</t>
  </si>
  <si>
    <t>Apple  Music</t>
  </si>
  <si>
    <t>Copia y pega como valores el resultado final (Ctrl + C → clic derecho → Pegar valores)</t>
  </si>
  <si>
    <t xml:space="preserve">Suscripción   a  Notion
</t>
  </si>
  <si>
    <t xml:space="preserve">  HBO Max</t>
  </si>
  <si>
    <t>Gym    mensual</t>
  </si>
  <si>
    <t xml:space="preserve">  Curso de UI en PLATZI</t>
  </si>
  <si>
    <t xml:space="preserve"> Canva
Pro    </t>
  </si>
  <si>
    <t xml:space="preserve">  YouTube   Premium</t>
  </si>
  <si>
    <t xml:space="preserve">  Google  Drive  almacenamiento </t>
  </si>
  <si>
    <t xml:space="preserve"> Audible  Mensual</t>
  </si>
  <si>
    <t xml:space="preserve"> Curso  de Productividad </t>
  </si>
  <si>
    <t xml:space="preserve">CursoPlatzi  </t>
  </si>
  <si>
    <t>Taller     UX Writing</t>
  </si>
  <si>
    <t xml:space="preserve">App de Meditación  </t>
  </si>
  <si>
    <t xml:space="preserve">Spotify 
Individual  </t>
  </si>
  <si>
    <t>PLATZI    curso excel</t>
  </si>
  <si>
    <t>Notion    AI</t>
  </si>
  <si>
    <t xml:space="preserve">Clases de francés  </t>
  </si>
  <si>
    <t>Uber 120 Efectivo</t>
  </si>
  <si>
    <t>Spotify  Familiar &amp;</t>
  </si>
  <si>
    <t xml:space="preserve">   Amazon
Prime }</t>
  </si>
  <si>
    <t>Netflix Premium</t>
  </si>
  <si>
    <t>AmazonPrime }</t>
  </si>
  <si>
    <t>Suscripción a Notion</t>
  </si>
  <si>
    <t>HBO Max</t>
  </si>
  <si>
    <t>Gym mensual</t>
  </si>
  <si>
    <t>Curso de UI en PLATZI</t>
  </si>
  <si>
    <t>CanvaPro</t>
  </si>
  <si>
    <t>YouTube Premium</t>
  </si>
  <si>
    <t>Google Drive almacenamiento</t>
  </si>
  <si>
    <t>Audible  Mensual</t>
  </si>
  <si>
    <t>Curso  de Productividad</t>
  </si>
  <si>
    <t>CursoPlatzi</t>
  </si>
  <si>
    <t>Taller UX Writing</t>
  </si>
  <si>
    <t>App de Meditación</t>
  </si>
  <si>
    <t>Spotify Individual</t>
  </si>
  <si>
    <t>PLATZI curso excel</t>
  </si>
  <si>
    <t>Notion AI</t>
  </si>
  <si>
    <t>Clases de francés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</si>
</sst>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b/>
      <sz val="11"/>
      <color theme="1"/>
      <name val="IBM Plex Sans"/>
    </font>
    <font>
      <sz val="11"/>
      <color theme="1"/>
      <name val="IBM Plex Sans"/>
    </font>
    <font>
      <sz val="12"/>
      <color theme="1"/>
      <name val="Aptos Narrow"/>
    </font>
    <font>
      <b/>
      <sz val="12"/>
      <color theme="1"/>
      <name val="IBM Plex Sans"/>
    </font>
    <font>
      <sz val="12"/>
      <color theme="1"/>
      <name val="IBM Plex Sans"/>
    </font>
    <font>
      <u/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2" xfId="0" applyFont="1" applyFill="1" applyBorder="1" applyAlignment="1">
      <alignment horizontal="center" vertical="center" wrapText="1"/>
    </xf>
    <xf numFmtId="14" fontId="7" fillId="0" borderId="0" xfId="0" applyNumberFormat="1" applyFont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4" fontId="10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09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Concatenar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1</xdr:row>
      <xdr:rowOff>152400</xdr:rowOff>
    </xdr:from>
    <xdr:ext cx="7486650" cy="809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Izquierda - Derecha</a:t>
          </a:r>
          <a:endParaRPr sz="1400"/>
        </a:p>
      </xdr:txBody>
    </xdr:sp>
    <xdr:clientData fLocksWithSheet="0"/>
  </xdr:oneCellAnchor>
  <xdr:oneCellAnchor>
    <xdr:from>
      <xdr:col>8</xdr:col>
      <xdr:colOff>85725</xdr:colOff>
      <xdr:row>14</xdr:row>
      <xdr:rowOff>85725</xdr:rowOff>
    </xdr:from>
    <xdr:ext cx="7019925" cy="24098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39848" y="2576041"/>
          <a:ext cx="7012305" cy="2407919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IZQUIERDA(texto,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los primeros caracteres desde el lado izquierdo.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“Como cuando lees el nombre de una etiqueta desde el inicio”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DERECHA(texto,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los últimos caracteres desde el lado derecho.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“Ideal para códigos que terminan con la info importante”.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EXTRAER(texto, posición_inicial,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texto desde cualquier parte del dato.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“Es como pedirle a Excel: dame lo que está en medio de este código”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1</xdr:row>
      <xdr:rowOff>76200</xdr:rowOff>
    </xdr:from>
    <xdr:ext cx="7486650" cy="781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Espacios Vs Limpiar</a:t>
          </a:r>
          <a:endParaRPr sz="1400"/>
        </a:p>
      </xdr:txBody>
    </xdr:sp>
    <xdr:clientData fLocksWithSheet="0"/>
  </xdr:oneCellAnchor>
  <xdr:oneCellAnchor>
    <xdr:from>
      <xdr:col>8</xdr:col>
      <xdr:colOff>104775</xdr:colOff>
      <xdr:row>14</xdr:row>
      <xdr:rowOff>638175</xdr:rowOff>
    </xdr:from>
    <xdr:ext cx="7019925" cy="53244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839848" y="1121965"/>
          <a:ext cx="7012305" cy="531607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✂️ ESPACIOS(texto)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Elimina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extra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Quita los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al inicio, al final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y los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dobles entre palabras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 " Juan Pérez " → Juan Pérez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Útil cuando copias datos de sistemas o formularios donde la gente mete más espacios de los necesarios.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🧽 LIMPIAR(texto)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Elimina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caracteres invisibles o raros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Como saltos de línea ocultos, tabulaciones o símbolos no imprimibles.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 "Juan\nPérez" → JuanPérez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Perfecto cuando copias y pegas datos desde páginas web, PDFs o bases de datos externas.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🚀 DIFERENCIA CLAVE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→ limpia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visuales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LIMPIAR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→ limpia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basura oculta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(caracteres invisibles).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💡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Bonus pro tip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b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Combínalas así: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=ESPACIOS(LIMPIAR(A2))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9" sqref="B29"/>
    </sheetView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2.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8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3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workbookViewId="0">
      <selection activeCell="H9" sqref="H9:H28"/>
    </sheetView>
  </sheetViews>
  <sheetFormatPr baseColWidth="10" defaultColWidth="12.625" defaultRowHeight="15" customHeight="1"/>
  <cols>
    <col min="1" max="1" width="10.625" customWidth="1"/>
    <col min="2" max="2" width="17.875" customWidth="1"/>
    <col min="3" max="3" width="16.25" customWidth="1"/>
    <col min="4" max="4" width="17.875" customWidth="1"/>
    <col min="5" max="5" width="14.5" customWidth="1"/>
    <col min="6" max="6" width="31" customWidth="1"/>
    <col min="7" max="7" width="24.5" customWidth="1"/>
    <col min="8" max="8" width="35.25" customWidth="1"/>
    <col min="9" max="9" width="28.5" customWidth="1"/>
    <col min="10" max="26" width="10.625" customWidth="1"/>
  </cols>
  <sheetData>
    <row r="1" spans="2:11" ht="14.25" customHeight="1"/>
    <row r="2" spans="2:11" ht="14.25" customHeight="1"/>
    <row r="3" spans="2:11" ht="14.25" customHeight="1"/>
    <row r="4" spans="2:11" ht="14.25" customHeight="1"/>
    <row r="5" spans="2:11" ht="14.25" customHeight="1"/>
    <row r="6" spans="2:11" ht="14.25" customHeight="1"/>
    <row r="7" spans="2:11" ht="14.25" customHeight="1"/>
    <row r="8" spans="2:11" ht="14.25" customHeight="1"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</row>
    <row r="9" spans="2:11" ht="14.25" customHeight="1">
      <c r="B9" s="7">
        <v>45809</v>
      </c>
      <c r="C9" s="8" t="s">
        <v>12</v>
      </c>
      <c r="D9" s="8">
        <v>139</v>
      </c>
      <c r="E9" s="8" t="s">
        <v>13</v>
      </c>
      <c r="F9" t="str">
        <f>_xlfn.CONCAT(C9," ",D9," ",E9)</f>
        <v>Spotify Premium 139 Tarjeta</v>
      </c>
      <c r="G9" t="s">
        <v>92</v>
      </c>
      <c r="H9" t="str">
        <f>"User buy "&amp;C9&amp;" con "&amp;D9&amp;" soles"</f>
        <v>User buy Spotify Premium con 139 soles</v>
      </c>
      <c r="J9" s="9">
        <v>1</v>
      </c>
      <c r="K9" s="10" t="s">
        <v>14</v>
      </c>
    </row>
    <row r="10" spans="2:11" ht="14.25" customHeight="1">
      <c r="B10" s="7">
        <v>45814</v>
      </c>
      <c r="C10" s="8" t="s">
        <v>15</v>
      </c>
      <c r="D10" s="8">
        <v>219</v>
      </c>
      <c r="E10" s="8" t="s">
        <v>13</v>
      </c>
      <c r="F10" t="str">
        <f t="shared" ref="F10:F28" si="0">_xlfn.CONCAT(C10," ",D10," ",E10)</f>
        <v>Netflix 219 Tarjeta</v>
      </c>
      <c r="G10" t="str">
        <f t="shared" ref="G10:G28" si="1">C10&amp;" "&amp;D10&amp;" "&amp;E10</f>
        <v>Netflix 219 Tarjeta</v>
      </c>
      <c r="H10" t="str">
        <f t="shared" ref="H10:H28" si="2">"User buy "&amp;C10&amp;" con "&amp;D10&amp;" soles"</f>
        <v>User buy Netflix con 219 soles</v>
      </c>
      <c r="J10" s="9">
        <v>2</v>
      </c>
      <c r="K10" s="10" t="s">
        <v>16</v>
      </c>
    </row>
    <row r="11" spans="2:11" ht="14.25" customHeight="1">
      <c r="B11" s="7">
        <v>45819</v>
      </c>
      <c r="C11" s="8" t="s">
        <v>17</v>
      </c>
      <c r="D11" s="8">
        <v>120</v>
      </c>
      <c r="E11" s="8" t="s">
        <v>18</v>
      </c>
      <c r="F11" t="str">
        <f t="shared" si="0"/>
        <v>Uber 120 Efectivo</v>
      </c>
      <c r="G11" t="str">
        <f t="shared" si="1"/>
        <v>Uber 120 Efectivo</v>
      </c>
      <c r="H11" t="str">
        <f t="shared" si="2"/>
        <v>User buy Uber con 120 soles</v>
      </c>
      <c r="J11" s="9">
        <v>3</v>
      </c>
      <c r="K11" s="10" t="s">
        <v>19</v>
      </c>
    </row>
    <row r="12" spans="2:11" ht="14.25" customHeight="1">
      <c r="B12" s="7">
        <v>45824</v>
      </c>
      <c r="C12" s="8" t="s">
        <v>20</v>
      </c>
      <c r="D12" s="8">
        <v>75</v>
      </c>
      <c r="E12" s="8" t="s">
        <v>13</v>
      </c>
      <c r="F12" t="str">
        <f t="shared" si="0"/>
        <v>Starbucks 75 Tarjeta</v>
      </c>
      <c r="G12" t="str">
        <f t="shared" si="1"/>
        <v>Starbucks 75 Tarjeta</v>
      </c>
      <c r="H12" t="str">
        <f t="shared" si="2"/>
        <v>User buy Starbucks con 75 soles</v>
      </c>
    </row>
    <row r="13" spans="2:11" ht="14.25" customHeight="1">
      <c r="B13" s="7">
        <v>45829</v>
      </c>
      <c r="C13" s="8" t="s">
        <v>21</v>
      </c>
      <c r="D13" s="8">
        <v>890</v>
      </c>
      <c r="E13" s="8" t="s">
        <v>13</v>
      </c>
      <c r="F13" t="str">
        <f t="shared" si="0"/>
        <v>Supermercado 890 Tarjeta</v>
      </c>
      <c r="G13" t="str">
        <f t="shared" si="1"/>
        <v>Supermercado 890 Tarjeta</v>
      </c>
      <c r="H13" t="str">
        <f t="shared" si="2"/>
        <v>User buy Supermercado con 890 soles</v>
      </c>
    </row>
    <row r="14" spans="2:11" ht="14.25" customHeight="1">
      <c r="B14" s="7">
        <v>45834</v>
      </c>
      <c r="C14" s="8" t="s">
        <v>22</v>
      </c>
      <c r="D14" s="8">
        <v>560</v>
      </c>
      <c r="E14" s="8" t="s">
        <v>18</v>
      </c>
      <c r="F14" t="str">
        <f t="shared" si="0"/>
        <v>Tienda de ropa 560 Efectivo</v>
      </c>
      <c r="G14" t="str">
        <f t="shared" si="1"/>
        <v>Tienda de ropa 560 Efectivo</v>
      </c>
      <c r="H14" t="str">
        <f t="shared" si="2"/>
        <v>User buy Tienda de ropa con 560 soles</v>
      </c>
    </row>
    <row r="15" spans="2:11" ht="14.25" customHeight="1">
      <c r="B15" s="7">
        <v>45839</v>
      </c>
      <c r="C15" s="8" t="s">
        <v>23</v>
      </c>
      <c r="D15" s="8">
        <v>230</v>
      </c>
      <c r="E15" s="8" t="s">
        <v>13</v>
      </c>
      <c r="F15" t="str">
        <f t="shared" si="0"/>
        <v>Suscripción Figma 230 Tarjeta</v>
      </c>
      <c r="G15" t="str">
        <f t="shared" si="1"/>
        <v>Suscripción Figma 230 Tarjeta</v>
      </c>
      <c r="H15" t="str">
        <f t="shared" si="2"/>
        <v>User buy Suscripción Figma con 230 soles</v>
      </c>
    </row>
    <row r="16" spans="2:11" ht="14.25" customHeight="1">
      <c r="B16" s="7">
        <v>45844</v>
      </c>
      <c r="C16" s="8" t="s">
        <v>24</v>
      </c>
      <c r="D16" s="8">
        <v>480</v>
      </c>
      <c r="E16" s="8" t="s">
        <v>13</v>
      </c>
      <c r="F16" t="str">
        <f t="shared" si="0"/>
        <v>Amazon 480 Tarjeta</v>
      </c>
      <c r="G16" t="str">
        <f t="shared" si="1"/>
        <v>Amazon 480 Tarjeta</v>
      </c>
      <c r="H16" t="str">
        <f t="shared" si="2"/>
        <v>User buy Amazon con 480 soles</v>
      </c>
    </row>
    <row r="17" spans="2:8" ht="14.25" customHeight="1">
      <c r="B17" s="7">
        <v>45849</v>
      </c>
      <c r="C17" s="8" t="s">
        <v>25</v>
      </c>
      <c r="D17" s="8">
        <v>150</v>
      </c>
      <c r="E17" s="8" t="s">
        <v>18</v>
      </c>
      <c r="F17" t="str">
        <f t="shared" si="0"/>
        <v>Cine 150 Efectivo</v>
      </c>
      <c r="G17" t="str">
        <f t="shared" si="1"/>
        <v>Cine 150 Efectivo</v>
      </c>
      <c r="H17" t="str">
        <f t="shared" si="2"/>
        <v>User buy Cine con 150 soles</v>
      </c>
    </row>
    <row r="18" spans="2:8" ht="14.25" customHeight="1">
      <c r="B18" s="7">
        <v>45854</v>
      </c>
      <c r="C18" s="8" t="s">
        <v>26</v>
      </c>
      <c r="D18" s="8">
        <v>300</v>
      </c>
      <c r="E18" s="8" t="s">
        <v>13</v>
      </c>
      <c r="F18" t="str">
        <f t="shared" si="0"/>
        <v>Farmacia 300 Tarjeta</v>
      </c>
      <c r="G18" t="str">
        <f t="shared" si="1"/>
        <v>Farmacia 300 Tarjeta</v>
      </c>
      <c r="H18" t="str">
        <f t="shared" si="2"/>
        <v>User buy Farmacia con 300 soles</v>
      </c>
    </row>
    <row r="19" spans="2:8" ht="14.25" customHeight="1">
      <c r="B19" s="7">
        <v>45859</v>
      </c>
      <c r="C19" s="8" t="s">
        <v>27</v>
      </c>
      <c r="D19" s="8">
        <v>620</v>
      </c>
      <c r="E19" s="8" t="s">
        <v>13</v>
      </c>
      <c r="F19" t="str">
        <f t="shared" si="0"/>
        <v>Restaurante 620 Tarjeta</v>
      </c>
      <c r="G19" t="str">
        <f t="shared" si="1"/>
        <v>Restaurante 620 Tarjeta</v>
      </c>
      <c r="H19" t="str">
        <f t="shared" si="2"/>
        <v>User buy Restaurante con 620 soles</v>
      </c>
    </row>
    <row r="20" spans="2:8" ht="14.25" customHeight="1">
      <c r="B20" s="7">
        <v>45864</v>
      </c>
      <c r="C20" s="8" t="s">
        <v>28</v>
      </c>
      <c r="D20" s="8">
        <v>500</v>
      </c>
      <c r="E20" s="8" t="s">
        <v>13</v>
      </c>
      <c r="F20" t="str">
        <f t="shared" si="0"/>
        <v>Gimnasio 500 Tarjeta</v>
      </c>
      <c r="G20" t="str">
        <f t="shared" si="1"/>
        <v>Gimnasio 500 Tarjeta</v>
      </c>
      <c r="H20" t="str">
        <f t="shared" si="2"/>
        <v>User buy Gimnasio con 500 soles</v>
      </c>
    </row>
    <row r="21" spans="2:8" ht="14.25" customHeight="1">
      <c r="B21" s="7">
        <v>45869</v>
      </c>
      <c r="C21" s="8" t="s">
        <v>29</v>
      </c>
      <c r="D21" s="8">
        <v>100</v>
      </c>
      <c r="E21" s="8" t="s">
        <v>13</v>
      </c>
      <c r="F21" t="str">
        <f t="shared" si="0"/>
        <v>Suscripción Notion 100 Tarjeta</v>
      </c>
      <c r="G21" t="str">
        <f t="shared" si="1"/>
        <v>Suscripción Notion 100 Tarjeta</v>
      </c>
      <c r="H21" t="str">
        <f t="shared" si="2"/>
        <v>User buy Suscripción Notion con 100 soles</v>
      </c>
    </row>
    <row r="22" spans="2:8" ht="14.25" customHeight="1">
      <c r="B22" s="7">
        <v>45874</v>
      </c>
      <c r="C22" s="8" t="s">
        <v>30</v>
      </c>
      <c r="D22" s="8">
        <v>90</v>
      </c>
      <c r="E22" s="8" t="s">
        <v>18</v>
      </c>
      <c r="F22" t="str">
        <f t="shared" si="0"/>
        <v>Café local 90 Efectivo</v>
      </c>
      <c r="G22" t="str">
        <f t="shared" si="1"/>
        <v>Café local 90 Efectivo</v>
      </c>
      <c r="H22" t="str">
        <f t="shared" si="2"/>
        <v>User buy Café local con 90 soles</v>
      </c>
    </row>
    <row r="23" spans="2:8" ht="14.25" customHeight="1">
      <c r="B23" s="7">
        <v>45879</v>
      </c>
      <c r="C23" s="8" t="s">
        <v>31</v>
      </c>
      <c r="D23" s="8">
        <v>210</v>
      </c>
      <c r="E23" s="8" t="s">
        <v>13</v>
      </c>
      <c r="F23" t="str">
        <f t="shared" si="0"/>
        <v>Tienda de arte 210 Tarjeta</v>
      </c>
      <c r="G23" t="str">
        <f t="shared" si="1"/>
        <v>Tienda de arte 210 Tarjeta</v>
      </c>
      <c r="H23" t="str">
        <f t="shared" si="2"/>
        <v>User buy Tienda de arte con 210 soles</v>
      </c>
    </row>
    <row r="24" spans="2:8" ht="14.25" customHeight="1">
      <c r="B24" s="7">
        <v>45884</v>
      </c>
      <c r="C24" s="8" t="s">
        <v>32</v>
      </c>
      <c r="D24" s="8">
        <v>180</v>
      </c>
      <c r="E24" s="8" t="s">
        <v>13</v>
      </c>
      <c r="F24" t="str">
        <f t="shared" si="0"/>
        <v>Librería 180 Tarjeta</v>
      </c>
      <c r="G24" t="str">
        <f t="shared" si="1"/>
        <v>Librería 180 Tarjeta</v>
      </c>
      <c r="H24" t="str">
        <f t="shared" si="2"/>
        <v>User buy Librería con 180 soles</v>
      </c>
    </row>
    <row r="25" spans="2:8" ht="14.25" customHeight="1">
      <c r="B25" s="7">
        <v>45889</v>
      </c>
      <c r="C25" s="8" t="s">
        <v>33</v>
      </c>
      <c r="D25" s="8">
        <v>450</v>
      </c>
      <c r="E25" s="8" t="s">
        <v>13</v>
      </c>
      <c r="F25" t="str">
        <f t="shared" si="0"/>
        <v>Pago de celular 450 Tarjeta</v>
      </c>
      <c r="G25" t="str">
        <f t="shared" si="1"/>
        <v>Pago de celular 450 Tarjeta</v>
      </c>
      <c r="H25" t="str">
        <f t="shared" si="2"/>
        <v>User buy Pago de celular con 450 soles</v>
      </c>
    </row>
    <row r="26" spans="2:8" ht="14.25" customHeight="1">
      <c r="B26" s="7">
        <v>45894</v>
      </c>
      <c r="C26" s="8" t="s">
        <v>34</v>
      </c>
      <c r="D26" s="8">
        <v>700</v>
      </c>
      <c r="E26" s="8" t="s">
        <v>18</v>
      </c>
      <c r="F26" t="str">
        <f t="shared" si="0"/>
        <v>Gasolina 700 Efectivo</v>
      </c>
      <c r="G26" t="str">
        <f t="shared" si="1"/>
        <v>Gasolina 700 Efectivo</v>
      </c>
      <c r="H26" t="str">
        <f t="shared" si="2"/>
        <v>User buy Gasolina con 700 soles</v>
      </c>
    </row>
    <row r="27" spans="2:8" ht="14.25" customHeight="1">
      <c r="B27" s="7">
        <v>45899</v>
      </c>
      <c r="C27" s="8" t="s">
        <v>35</v>
      </c>
      <c r="D27" s="8">
        <v>50</v>
      </c>
      <c r="E27" s="8" t="s">
        <v>18</v>
      </c>
      <c r="F27" t="str">
        <f t="shared" si="0"/>
        <v>Renta de bici 50 Efectivo</v>
      </c>
      <c r="G27" t="str">
        <f t="shared" si="1"/>
        <v>Renta de bici 50 Efectivo</v>
      </c>
      <c r="H27" t="str">
        <f t="shared" si="2"/>
        <v>User buy Renta de bici con 50 soles</v>
      </c>
    </row>
    <row r="28" spans="2:8" ht="14.25" customHeight="1">
      <c r="B28" s="7">
        <v>45904</v>
      </c>
      <c r="C28" s="8" t="s">
        <v>36</v>
      </c>
      <c r="D28" s="8">
        <v>60</v>
      </c>
      <c r="E28" s="8" t="s">
        <v>13</v>
      </c>
      <c r="F28" t="str">
        <f t="shared" si="0"/>
        <v>Snacks 60 Tarjeta</v>
      </c>
      <c r="G28" t="str">
        <f t="shared" si="1"/>
        <v>Snacks 60 Tarjeta</v>
      </c>
      <c r="H28" t="str">
        <f t="shared" si="2"/>
        <v>User buy Snacks con 60 soles</v>
      </c>
    </row>
    <row r="29" spans="2:8" ht="14.25" customHeight="1">
      <c r="B29" s="8"/>
      <c r="C29" s="8"/>
      <c r="D29" s="8"/>
      <c r="E29" s="8"/>
    </row>
    <row r="30" spans="2:8" ht="14.25" customHeight="1">
      <c r="B30" s="8"/>
      <c r="C30" s="8"/>
      <c r="D30" s="8"/>
      <c r="E30" s="8"/>
    </row>
    <row r="31" spans="2:8" ht="14.25" customHeight="1">
      <c r="B31" s="8"/>
      <c r="C31" s="8"/>
      <c r="D31" s="8"/>
      <c r="E31" s="8"/>
    </row>
    <row r="32" spans="2:8" ht="14.25" customHeight="1">
      <c r="B32" s="8"/>
      <c r="C32" s="8"/>
      <c r="D32" s="8"/>
      <c r="E32" s="8"/>
    </row>
    <row r="33" spans="2:5" ht="14.25" customHeight="1">
      <c r="B33" s="8"/>
      <c r="C33" s="8"/>
      <c r="D33" s="8"/>
      <c r="E33" s="8"/>
    </row>
    <row r="34" spans="2:5" ht="14.25" customHeight="1">
      <c r="B34" s="8"/>
      <c r="C34" s="8"/>
      <c r="D34" s="8"/>
      <c r="E34" s="8"/>
    </row>
    <row r="35" spans="2:5" ht="14.25" customHeight="1">
      <c r="B35" s="8"/>
      <c r="C35" s="8"/>
      <c r="D35" s="8"/>
      <c r="E35" s="8"/>
    </row>
    <row r="36" spans="2:5" ht="14.25" customHeight="1">
      <c r="B36" s="8"/>
      <c r="C36" s="8"/>
      <c r="D36" s="8"/>
      <c r="E36" s="8"/>
    </row>
    <row r="37" spans="2:5" ht="14.25" customHeight="1">
      <c r="B37" s="8"/>
      <c r="C37" s="8"/>
      <c r="D37" s="8"/>
      <c r="E37" s="8"/>
    </row>
    <row r="38" spans="2:5" ht="14.25" customHeight="1">
      <c r="B38" s="8"/>
      <c r="C38" s="8"/>
      <c r="D38" s="8"/>
      <c r="E38" s="8"/>
    </row>
    <row r="39" spans="2:5" ht="14.25" customHeight="1"/>
    <row r="40" spans="2:5" ht="14.25" customHeight="1"/>
    <row r="41" spans="2:5" ht="14.25" customHeight="1"/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0" sqref="F10:F29"/>
    </sheetView>
  </sheetViews>
  <sheetFormatPr baseColWidth="10" defaultColWidth="12.625" defaultRowHeight="15" customHeight="1"/>
  <cols>
    <col min="1" max="2" width="11.5" customWidth="1"/>
    <col min="3" max="3" width="21.625" customWidth="1"/>
    <col min="4" max="8" width="13.75" customWidth="1"/>
    <col min="9" max="9" width="15.75" customWidth="1"/>
    <col min="10" max="10" width="11.5" customWidth="1"/>
    <col min="11" max="26" width="10.625" customWidth="1"/>
  </cols>
  <sheetData>
    <row r="1" spans="1:26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/>
      <c r="B9" s="11"/>
      <c r="C9" s="12" t="s">
        <v>37</v>
      </c>
      <c r="D9" s="13" t="s">
        <v>38</v>
      </c>
      <c r="E9" s="13" t="s">
        <v>39</v>
      </c>
      <c r="F9" s="13" t="s">
        <v>40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>
      <c r="A10" s="11"/>
      <c r="B10" s="11"/>
      <c r="C10" s="10" t="s">
        <v>41</v>
      </c>
      <c r="D10" s="14" t="str">
        <f>LEFT(C10,3)</f>
        <v>GST</v>
      </c>
      <c r="E10" s="14" t="str">
        <f>MID(C10,5,3)</f>
        <v>FIX</v>
      </c>
      <c r="F10" s="14" t="str">
        <f>RIGHT(C10,4)</f>
        <v>0825</v>
      </c>
      <c r="G10" s="14"/>
      <c r="H10" s="14"/>
      <c r="I10" s="15">
        <v>1</v>
      </c>
      <c r="J10" s="16" t="s">
        <v>42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>
      <c r="A11" s="11"/>
      <c r="B11" s="11"/>
      <c r="C11" s="10" t="s">
        <v>43</v>
      </c>
      <c r="D11" s="14" t="str">
        <f t="shared" ref="D11:D29" si="0">LEFT(C11,3)</f>
        <v>ING</v>
      </c>
      <c r="E11" s="14" t="str">
        <f t="shared" ref="E11:E29" si="1">MID(C11,5,3)</f>
        <v>FIX</v>
      </c>
      <c r="F11" s="14" t="str">
        <f t="shared" ref="F11:F29" si="2">RIGHT(C11,4)</f>
        <v>0625</v>
      </c>
      <c r="G11" s="17"/>
      <c r="H11" s="14"/>
      <c r="I11" s="15">
        <v>2</v>
      </c>
      <c r="J11" s="16" t="s">
        <v>44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>
      <c r="A12" s="11"/>
      <c r="B12" s="11"/>
      <c r="C12" s="10" t="s">
        <v>45</v>
      </c>
      <c r="D12" s="14" t="str">
        <f t="shared" si="0"/>
        <v>GST</v>
      </c>
      <c r="E12" s="14" t="str">
        <f t="shared" si="1"/>
        <v>VAR</v>
      </c>
      <c r="F12" s="14" t="str">
        <f t="shared" si="2"/>
        <v>0825</v>
      </c>
      <c r="G12" s="11"/>
      <c r="H12" s="18"/>
      <c r="I12" s="15">
        <v>3</v>
      </c>
      <c r="J12" s="16" t="s">
        <v>46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>
      <c r="A13" s="11"/>
      <c r="B13" s="11"/>
      <c r="C13" s="10" t="s">
        <v>43</v>
      </c>
      <c r="D13" s="14" t="str">
        <f t="shared" si="0"/>
        <v>ING</v>
      </c>
      <c r="E13" s="14" t="str">
        <f t="shared" si="1"/>
        <v>FIX</v>
      </c>
      <c r="F13" s="14" t="str">
        <f t="shared" si="2"/>
        <v>0625</v>
      </c>
      <c r="G13" s="11"/>
      <c r="H13" s="18"/>
      <c r="I13" s="15">
        <v>4</v>
      </c>
      <c r="J13" s="16" t="s">
        <v>47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>
      <c r="A14" s="11"/>
      <c r="B14" s="11"/>
      <c r="C14" s="10" t="s">
        <v>48</v>
      </c>
      <c r="D14" s="14" t="str">
        <f t="shared" si="0"/>
        <v>ING</v>
      </c>
      <c r="E14" s="14" t="str">
        <f t="shared" si="1"/>
        <v>VAR</v>
      </c>
      <c r="F14" s="14" t="str">
        <f t="shared" si="2"/>
        <v>0825</v>
      </c>
      <c r="G14" s="11"/>
      <c r="H14" s="1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>
      <c r="A15" s="11"/>
      <c r="B15" s="11"/>
      <c r="C15" s="10" t="s">
        <v>49</v>
      </c>
      <c r="D15" s="14" t="str">
        <f t="shared" si="0"/>
        <v>GST</v>
      </c>
      <c r="E15" s="14" t="str">
        <f t="shared" si="1"/>
        <v>VAR</v>
      </c>
      <c r="F15" s="14" t="str">
        <f t="shared" si="2"/>
        <v>0725</v>
      </c>
      <c r="G15" s="11"/>
      <c r="H15" s="18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>
      <c r="A16" s="11"/>
      <c r="B16" s="11"/>
      <c r="C16" s="10" t="s">
        <v>50</v>
      </c>
      <c r="D16" s="14" t="str">
        <f t="shared" si="0"/>
        <v>GST</v>
      </c>
      <c r="E16" s="14" t="str">
        <f t="shared" si="1"/>
        <v>VAR</v>
      </c>
      <c r="F16" s="14" t="str">
        <f t="shared" si="2"/>
        <v>0725</v>
      </c>
      <c r="G16" s="11"/>
      <c r="H16" s="18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>
      <c r="A17" s="11"/>
      <c r="B17" s="11"/>
      <c r="C17" s="10" t="s">
        <v>51</v>
      </c>
      <c r="D17" s="14" t="str">
        <f t="shared" si="0"/>
        <v>GST</v>
      </c>
      <c r="E17" s="14" t="str">
        <f t="shared" si="1"/>
        <v>VAR</v>
      </c>
      <c r="F17" s="14" t="str">
        <f t="shared" si="2"/>
        <v>0625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>
      <c r="A18" s="11"/>
      <c r="B18" s="11"/>
      <c r="C18" s="10" t="s">
        <v>52</v>
      </c>
      <c r="D18" s="14" t="str">
        <f t="shared" si="0"/>
        <v>GST</v>
      </c>
      <c r="E18" s="14" t="str">
        <f t="shared" si="1"/>
        <v>FIX</v>
      </c>
      <c r="F18" s="14" t="str">
        <f t="shared" si="2"/>
        <v>0825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>
      <c r="A19" s="11"/>
      <c r="B19" s="11"/>
      <c r="C19" s="10" t="s">
        <v>53</v>
      </c>
      <c r="D19" s="14" t="str">
        <f t="shared" si="0"/>
        <v>GST</v>
      </c>
      <c r="E19" s="14" t="str">
        <f t="shared" si="1"/>
        <v>VAR</v>
      </c>
      <c r="F19" s="14" t="str">
        <f t="shared" si="2"/>
        <v>0725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>
      <c r="A20" s="11"/>
      <c r="B20" s="11"/>
      <c r="C20" s="10" t="s">
        <v>54</v>
      </c>
      <c r="D20" s="14" t="str">
        <f t="shared" si="0"/>
        <v>ING</v>
      </c>
      <c r="E20" s="14" t="str">
        <f t="shared" si="1"/>
        <v>VAR</v>
      </c>
      <c r="F20" s="14" t="str">
        <f t="shared" si="2"/>
        <v>0725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customHeight="1">
      <c r="A21" s="11"/>
      <c r="B21" s="11"/>
      <c r="C21" s="10" t="s">
        <v>55</v>
      </c>
      <c r="D21" s="14" t="str">
        <f t="shared" si="0"/>
        <v>GST</v>
      </c>
      <c r="E21" s="14" t="str">
        <f t="shared" si="1"/>
        <v>FIX</v>
      </c>
      <c r="F21" s="14" t="str">
        <f t="shared" si="2"/>
        <v>0825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>
      <c r="A22" s="11"/>
      <c r="B22" s="11"/>
      <c r="C22" s="10" t="s">
        <v>56</v>
      </c>
      <c r="D22" s="14" t="str">
        <f t="shared" si="0"/>
        <v>ING</v>
      </c>
      <c r="E22" s="14" t="str">
        <f t="shared" si="1"/>
        <v>VAR</v>
      </c>
      <c r="F22" s="14" t="str">
        <f t="shared" si="2"/>
        <v>0825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>
      <c r="A23" s="11"/>
      <c r="B23" s="11"/>
      <c r="C23" s="10" t="s">
        <v>57</v>
      </c>
      <c r="D23" s="14" t="str">
        <f t="shared" si="0"/>
        <v>ING</v>
      </c>
      <c r="E23" s="14" t="str">
        <f t="shared" si="1"/>
        <v>FIX</v>
      </c>
      <c r="F23" s="14" t="str">
        <f t="shared" si="2"/>
        <v>0725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customHeight="1">
      <c r="A24" s="11"/>
      <c r="B24" s="11"/>
      <c r="C24" s="10" t="s">
        <v>58</v>
      </c>
      <c r="D24" s="14" t="str">
        <f t="shared" si="0"/>
        <v>GST</v>
      </c>
      <c r="E24" s="14" t="str">
        <f t="shared" si="1"/>
        <v>FIX</v>
      </c>
      <c r="F24" s="14" t="str">
        <f t="shared" si="2"/>
        <v>0725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>
      <c r="A25" s="11"/>
      <c r="B25" s="11"/>
      <c r="C25" s="10" t="s">
        <v>59</v>
      </c>
      <c r="D25" s="14" t="str">
        <f t="shared" si="0"/>
        <v>GST</v>
      </c>
      <c r="E25" s="14" t="str">
        <f t="shared" si="1"/>
        <v>VAR</v>
      </c>
      <c r="F25" s="14" t="str">
        <f t="shared" si="2"/>
        <v>0725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>
      <c r="A26" s="11"/>
      <c r="B26" s="11"/>
      <c r="C26" s="10" t="s">
        <v>60</v>
      </c>
      <c r="D26" s="14" t="str">
        <f t="shared" si="0"/>
        <v>GST</v>
      </c>
      <c r="E26" s="14" t="str">
        <f t="shared" si="1"/>
        <v>VAR</v>
      </c>
      <c r="F26" s="14" t="str">
        <f t="shared" si="2"/>
        <v>0625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>
      <c r="A27" s="11"/>
      <c r="B27" s="11"/>
      <c r="C27" s="10" t="s">
        <v>49</v>
      </c>
      <c r="D27" s="14" t="str">
        <f t="shared" si="0"/>
        <v>GST</v>
      </c>
      <c r="E27" s="14" t="str">
        <f t="shared" si="1"/>
        <v>VAR</v>
      </c>
      <c r="F27" s="14" t="str">
        <f t="shared" si="2"/>
        <v>0725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customHeight="1">
      <c r="A28" s="11"/>
      <c r="B28" s="11"/>
      <c r="C28" s="10" t="s">
        <v>61</v>
      </c>
      <c r="D28" s="14" t="str">
        <f t="shared" si="0"/>
        <v>ING</v>
      </c>
      <c r="E28" s="14" t="str">
        <f t="shared" si="1"/>
        <v>FIX</v>
      </c>
      <c r="F28" s="14" t="str">
        <f t="shared" si="2"/>
        <v>0625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>
      <c r="A29" s="11"/>
      <c r="B29" s="11"/>
      <c r="C29" s="10" t="s">
        <v>62</v>
      </c>
      <c r="D29" s="14" t="str">
        <f t="shared" si="0"/>
        <v>ING</v>
      </c>
      <c r="E29" s="14" t="str">
        <f t="shared" si="1"/>
        <v>VAR</v>
      </c>
      <c r="F29" s="14" t="str">
        <f t="shared" si="2"/>
        <v>0725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4" workbookViewId="0">
      <selection activeCell="H10" sqref="H10:H30"/>
    </sheetView>
  </sheetViews>
  <sheetFormatPr baseColWidth="10" defaultColWidth="12.625" defaultRowHeight="15" customHeight="1"/>
  <cols>
    <col min="1" max="2" width="11.5" customWidth="1"/>
    <col min="3" max="3" width="23.625" customWidth="1"/>
    <col min="4" max="4" width="31.625" customWidth="1"/>
    <col min="5" max="5" width="28.125" customWidth="1"/>
    <col min="6" max="6" width="21" customWidth="1"/>
    <col min="7" max="7" width="31.75" customWidth="1"/>
    <col min="8" max="9" width="11.5" customWidth="1"/>
    <col min="10" max="10" width="69.25" customWidth="1"/>
    <col min="11" max="26" width="10.625" customWidth="1"/>
  </cols>
  <sheetData>
    <row r="1" spans="1:26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>
      <c r="A9" s="11"/>
      <c r="B9" s="11"/>
      <c r="C9" s="12" t="s">
        <v>63</v>
      </c>
      <c r="D9" s="12" t="s">
        <v>64</v>
      </c>
      <c r="E9" s="12" t="s">
        <v>65</v>
      </c>
      <c r="F9" s="12" t="s">
        <v>66</v>
      </c>
      <c r="G9" s="12" t="s">
        <v>67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6.25" customHeight="1">
      <c r="A10" s="11"/>
      <c r="B10" s="11"/>
      <c r="C10" s="8" t="s">
        <v>68</v>
      </c>
      <c r="D10" s="8" t="str">
        <f>TRIM(C10)</f>
        <v>Netflix Premium</v>
      </c>
      <c r="E10" s="8" t="str">
        <f>CLEAN(C10)</f>
        <v xml:space="preserve">   Netflix   Premium </v>
      </c>
      <c r="F10" s="8" t="s">
        <v>95</v>
      </c>
      <c r="G10" s="8" t="s">
        <v>95</v>
      </c>
      <c r="H10" s="21"/>
      <c r="I10" s="13">
        <v>1</v>
      </c>
      <c r="J10" s="19" t="s">
        <v>69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6.25" customHeight="1">
      <c r="A11" s="11"/>
      <c r="B11" s="11"/>
      <c r="C11" s="8" t="s">
        <v>93</v>
      </c>
      <c r="D11" s="8" t="str">
        <f t="shared" ref="D11:D30" si="0">TRIM(C11)</f>
        <v>Spotify  Familiar &amp;</v>
      </c>
      <c r="E11" s="8" t="str">
        <f t="shared" ref="E11:E30" si="1">CLEAN(C11)</f>
        <v>Spotify  Familiar &amp;</v>
      </c>
      <c r="F11" s="8" t="s">
        <v>93</v>
      </c>
      <c r="G11" s="8" t="s">
        <v>93</v>
      </c>
      <c r="H11" s="21"/>
      <c r="I11" s="13">
        <v>2</v>
      </c>
      <c r="J11" s="19" t="s">
        <v>70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6.25" customHeight="1">
      <c r="A12" s="11"/>
      <c r="B12" s="11"/>
      <c r="C12" s="20" t="s">
        <v>94</v>
      </c>
      <c r="D12" s="8" t="str">
        <f t="shared" si="0"/>
        <v>Amazon
Prime }</v>
      </c>
      <c r="E12" s="8" t="str">
        <f t="shared" si="1"/>
        <v xml:space="preserve">   AmazonPrime }</v>
      </c>
      <c r="F12" s="8" t="s">
        <v>96</v>
      </c>
      <c r="G12" s="8" t="s">
        <v>96</v>
      </c>
      <c r="H12" s="21"/>
      <c r="I12" s="13">
        <v>3</v>
      </c>
      <c r="J12" s="19" t="s">
        <v>71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25" customHeight="1">
      <c r="A13" s="11"/>
      <c r="B13" s="11"/>
      <c r="C13" s="8" t="s">
        <v>72</v>
      </c>
      <c r="D13" s="8" t="str">
        <f t="shared" si="0"/>
        <v>Clases de Yoga   </v>
      </c>
      <c r="E13" s="8" t="str">
        <f t="shared" si="1"/>
        <v>Clases de Yoga   </v>
      </c>
      <c r="F13" s="8" t="s">
        <v>72</v>
      </c>
      <c r="G13" s="8" t="s">
        <v>72</v>
      </c>
      <c r="H13" s="21"/>
      <c r="I13" s="13">
        <v>4</v>
      </c>
      <c r="J13" s="19" t="s">
        <v>73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6.25" customHeight="1">
      <c r="A14" s="11"/>
      <c r="B14" s="11"/>
      <c r="C14" s="8" t="s">
        <v>74</v>
      </c>
      <c r="D14" s="8" t="str">
        <f t="shared" si="0"/>
        <v>Apple  Music</v>
      </c>
      <c r="E14" s="8" t="str">
        <f t="shared" si="1"/>
        <v>Apple  Music</v>
      </c>
      <c r="F14" s="8" t="s">
        <v>74</v>
      </c>
      <c r="G14" s="8" t="s">
        <v>74</v>
      </c>
      <c r="H14" s="21"/>
      <c r="I14" s="13">
        <v>5</v>
      </c>
      <c r="J14" s="19" t="s">
        <v>75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>
      <c r="A15" s="11"/>
      <c r="B15" s="11"/>
      <c r="C15" s="8" t="s">
        <v>76</v>
      </c>
      <c r="D15" s="8" t="str">
        <f t="shared" si="0"/>
        <v xml:space="preserve">Suscripción a Notion
</v>
      </c>
      <c r="E15" s="8" t="str">
        <f t="shared" si="1"/>
        <v>Suscripción   a  Notion</v>
      </c>
      <c r="F15" s="8" t="s">
        <v>97</v>
      </c>
      <c r="G15" s="8" t="s">
        <v>97</v>
      </c>
      <c r="H15" s="2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>
      <c r="A16" s="11"/>
      <c r="B16" s="11"/>
      <c r="C16" s="8" t="s">
        <v>77</v>
      </c>
      <c r="D16" s="8" t="str">
        <f t="shared" si="0"/>
        <v>HBO Max</v>
      </c>
      <c r="E16" s="8" t="str">
        <f t="shared" si="1"/>
        <v xml:space="preserve">  HBO Max</v>
      </c>
      <c r="F16" s="8" t="s">
        <v>98</v>
      </c>
      <c r="G16" s="8" t="s">
        <v>98</v>
      </c>
      <c r="H16" s="2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>
      <c r="A17" s="11"/>
      <c r="B17" s="11"/>
      <c r="C17" s="8" t="s">
        <v>78</v>
      </c>
      <c r="D17" s="8" t="str">
        <f t="shared" si="0"/>
        <v>Gym mensual</v>
      </c>
      <c r="E17" s="8" t="str">
        <f t="shared" si="1"/>
        <v>Gym    mensual</v>
      </c>
      <c r="F17" s="8" t="s">
        <v>99</v>
      </c>
      <c r="G17" s="8" t="s">
        <v>99</v>
      </c>
      <c r="H17" s="2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>
      <c r="A18" s="11"/>
      <c r="B18" s="11"/>
      <c r="C18" s="8" t="s">
        <v>79</v>
      </c>
      <c r="D18" s="8" t="str">
        <f t="shared" si="0"/>
        <v>Curso de UI en PLATZI</v>
      </c>
      <c r="E18" s="8" t="str">
        <f t="shared" si="1"/>
        <v xml:space="preserve">  Curso de UI en PLATZI</v>
      </c>
      <c r="F18" s="8" t="s">
        <v>100</v>
      </c>
      <c r="G18" s="8" t="s">
        <v>100</v>
      </c>
      <c r="H18" s="2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>
      <c r="A19" s="11"/>
      <c r="B19" s="11"/>
      <c r="C19" s="8" t="s">
        <v>80</v>
      </c>
      <c r="D19" s="8" t="str">
        <f t="shared" si="0"/>
        <v>Canva
Pro</v>
      </c>
      <c r="E19" s="8" t="str">
        <f t="shared" si="1"/>
        <v xml:space="preserve"> CanvaPro    </v>
      </c>
      <c r="F19" s="8" t="s">
        <v>101</v>
      </c>
      <c r="G19" s="8" t="s">
        <v>101</v>
      </c>
      <c r="H19" s="2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>
      <c r="A20" s="11"/>
      <c r="B20" s="11"/>
      <c r="C20" s="8" t="s">
        <v>81</v>
      </c>
      <c r="D20" s="8" t="str">
        <f t="shared" si="0"/>
        <v>YouTube Premium</v>
      </c>
      <c r="E20" s="8" t="str">
        <f t="shared" si="1"/>
        <v xml:space="preserve">  YouTube   Premium</v>
      </c>
      <c r="F20" s="8" t="s">
        <v>102</v>
      </c>
      <c r="G20" s="8" t="s">
        <v>102</v>
      </c>
      <c r="H20" s="2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>
      <c r="A21" s="11"/>
      <c r="B21" s="11"/>
      <c r="C21" s="8" t="s">
        <v>82</v>
      </c>
      <c r="D21" s="8" t="str">
        <f t="shared" si="0"/>
        <v>Google Drive almacenamiento</v>
      </c>
      <c r="E21" s="8" t="str">
        <f t="shared" si="1"/>
        <v xml:space="preserve">  Google  Drive  almacenamiento </v>
      </c>
      <c r="F21" s="8" t="s">
        <v>103</v>
      </c>
      <c r="G21" s="8" t="s">
        <v>103</v>
      </c>
      <c r="H21" s="2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>
      <c r="A22" s="11"/>
      <c r="B22" s="11"/>
      <c r="C22" s="8" t="s">
        <v>83</v>
      </c>
      <c r="D22" s="8" t="str">
        <f t="shared" si="0"/>
        <v>Audible  Mensual</v>
      </c>
      <c r="E22" s="8" t="str">
        <f t="shared" si="1"/>
        <v xml:space="preserve"> Audible  Mensual</v>
      </c>
      <c r="F22" s="8" t="s">
        <v>104</v>
      </c>
      <c r="G22" s="8" t="s">
        <v>104</v>
      </c>
      <c r="H22" s="2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>
      <c r="A23" s="11"/>
      <c r="B23" s="11"/>
      <c r="C23" s="8" t="s">
        <v>84</v>
      </c>
      <c r="D23" s="8" t="str">
        <f t="shared" si="0"/>
        <v>Curso  de Productividad</v>
      </c>
      <c r="E23" s="8" t="str">
        <f t="shared" si="1"/>
        <v xml:space="preserve"> Curso  de Productividad </v>
      </c>
      <c r="F23" s="8" t="s">
        <v>105</v>
      </c>
      <c r="G23" s="8" t="s">
        <v>105</v>
      </c>
      <c r="H23" s="2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>
      <c r="A24" s="11"/>
      <c r="B24" s="11"/>
      <c r="C24" s="8" t="s">
        <v>85</v>
      </c>
      <c r="D24" s="8" t="str">
        <f t="shared" si="0"/>
        <v>CursoPlatzi</v>
      </c>
      <c r="E24" s="8" t="str">
        <f t="shared" si="1"/>
        <v xml:space="preserve">CursoPlatzi  </v>
      </c>
      <c r="F24" s="8" t="s">
        <v>106</v>
      </c>
      <c r="G24" s="8" t="s">
        <v>106</v>
      </c>
      <c r="H24" s="2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>
      <c r="A25" s="11"/>
      <c r="B25" s="11"/>
      <c r="C25" s="8" t="s">
        <v>86</v>
      </c>
      <c r="D25" s="8" t="str">
        <f t="shared" si="0"/>
        <v>Taller UX Writing</v>
      </c>
      <c r="E25" s="8" t="str">
        <f t="shared" si="1"/>
        <v>Taller     UX Writing</v>
      </c>
      <c r="F25" s="8" t="s">
        <v>107</v>
      </c>
      <c r="G25" s="8" t="s">
        <v>107</v>
      </c>
      <c r="H25" s="2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>
      <c r="A26" s="11"/>
      <c r="B26" s="11"/>
      <c r="C26" s="8" t="s">
        <v>87</v>
      </c>
      <c r="D26" s="8" t="str">
        <f t="shared" si="0"/>
        <v>App de Meditación</v>
      </c>
      <c r="E26" s="8" t="str">
        <f t="shared" si="1"/>
        <v xml:space="preserve">App de Meditación  </v>
      </c>
      <c r="F26" s="8" t="s">
        <v>108</v>
      </c>
      <c r="G26" s="8" t="s">
        <v>108</v>
      </c>
      <c r="H26" s="2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0">
      <c r="A27" s="11"/>
      <c r="B27" s="11"/>
      <c r="C27" s="20" t="s">
        <v>88</v>
      </c>
      <c r="D27" s="8" t="str">
        <f t="shared" si="0"/>
        <v>Spotify 
Individual</v>
      </c>
      <c r="E27" s="8" t="str">
        <f t="shared" si="1"/>
        <v xml:space="preserve">Spotify Individual  </v>
      </c>
      <c r="F27" s="8" t="s">
        <v>109</v>
      </c>
      <c r="G27" s="8" t="s">
        <v>109</v>
      </c>
      <c r="H27" s="2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>
      <c r="A28" s="11"/>
      <c r="B28" s="11"/>
      <c r="C28" s="8" t="s">
        <v>89</v>
      </c>
      <c r="D28" s="8" t="str">
        <f t="shared" si="0"/>
        <v>PLATZI curso excel</v>
      </c>
      <c r="E28" s="8" t="str">
        <f t="shared" si="1"/>
        <v>PLATZI    curso excel</v>
      </c>
      <c r="F28" s="8" t="s">
        <v>110</v>
      </c>
      <c r="G28" s="8" t="s">
        <v>110</v>
      </c>
      <c r="H28" s="2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>
      <c r="A29" s="11"/>
      <c r="B29" s="11"/>
      <c r="C29" s="8" t="s">
        <v>90</v>
      </c>
      <c r="D29" s="8" t="str">
        <f t="shared" si="0"/>
        <v>Notion AI</v>
      </c>
      <c r="E29" s="8" t="str">
        <f t="shared" si="1"/>
        <v>Notion    AI</v>
      </c>
      <c r="F29" s="8" t="s">
        <v>111</v>
      </c>
      <c r="G29" s="8" t="s">
        <v>111</v>
      </c>
      <c r="H29" s="2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>
      <c r="A30" s="11"/>
      <c r="B30" s="11"/>
      <c r="C30" s="8" t="s">
        <v>91</v>
      </c>
      <c r="D30" s="8" t="str">
        <f t="shared" si="0"/>
        <v>Clases de francés</v>
      </c>
      <c r="E30" s="8" t="str">
        <f t="shared" si="1"/>
        <v xml:space="preserve">Clases de francés  </v>
      </c>
      <c r="F30" s="8" t="s">
        <v>112</v>
      </c>
      <c r="G30" s="8" t="s">
        <v>112</v>
      </c>
      <c r="H30" s="2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>
      <c r="A31" s="11"/>
      <c r="B31" s="11"/>
      <c r="C31" s="17"/>
      <c r="D31" s="17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>
      <c r="A32" s="11"/>
      <c r="B32" s="11"/>
      <c r="C32" s="17"/>
      <c r="D32" s="17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>
      <c r="A33" s="11"/>
      <c r="B33" s="11"/>
      <c r="C33" s="17"/>
      <c r="D33" s="17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>
      <c r="A34" s="11"/>
      <c r="B34" s="11"/>
      <c r="C34" s="17"/>
      <c r="D34" s="17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Concatenar</vt:lpstr>
      <vt:lpstr>IZQ-DER</vt:lpstr>
      <vt:lpstr>Espacios Limpiar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2026-01-28T17:22:27Z</dcterms:modified>
</cp:coreProperties>
</file>