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jorge\excel\basico\02_formulas_funciones_esenciales\"/>
    </mc:Choice>
  </mc:AlternateContent>
  <xr:revisionPtr revIDLastSave="0" documentId="13_ncr:1_{B00F7A38-8632-4EE7-A332-C33324311128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Intro" sheetId="1" r:id="rId1"/>
    <sheet name="Funciones Básicas" sheetId="2" r:id="rId2"/>
    <sheet name="Suma en Matriz" sheetId="3" r:id="rId3"/>
    <sheet name="Contar" sheetId="4" r:id="rId4"/>
  </sheets>
  <externalReferences>
    <externalReference r:id="rId5"/>
  </externalReferences>
  <definedNames>
    <definedName name="Abril">#REF!</definedName>
    <definedName name="anscount">2</definedName>
    <definedName name="Apellido">'[1]27'!$C$15:$C$22</definedName>
    <definedName name="base_datos">'[1]76'!$A$58:$E$74</definedName>
    <definedName name="BudgetTab">#REF!</definedName>
    <definedName name="Carnicería">#REF!</definedName>
    <definedName name="Code">'[1]35'!$A$1:$A$12</definedName>
    <definedName name="Código">#REF!</definedName>
    <definedName name="Colegios">#REF!</definedName>
    <definedName name="Comida">#REF!</definedName>
    <definedName name="cuota">'[1]32'!$A$11:$D$28</definedName>
    <definedName name="Domicilio">'[1]27'!$D$15:$D$22</definedName>
    <definedName name="Elementos">#REF!</definedName>
    <definedName name="Enero">#REF!</definedName>
    <definedName name="ExtraCredit">#REF!</definedName>
    <definedName name="Febrero">#REF!</definedName>
    <definedName name="Fruta">#REF!</definedName>
    <definedName name="Gasolina">#REF!</definedName>
    <definedName name="Luz">#REF!</definedName>
    <definedName name="Marzo">#REF!</definedName>
    <definedName name="Marzo1">#REF!</definedName>
    <definedName name="MoreFruit">#REF!</definedName>
    <definedName name="MoreItem">#REF!</definedName>
    <definedName name="MoreItems">#REF!</definedName>
    <definedName name="Nombre">'[1]27'!$B$15:$B$22</definedName>
    <definedName name="Ocio">#REF!</definedName>
    <definedName name="Saldo_pdte.">'[1]27'!$F$15:$F$22</definedName>
    <definedName name="sencount">1</definedName>
    <definedName name="SUMAR.SI">#REF!</definedName>
    <definedName name="SUMExtraCredit">#REF!</definedName>
    <definedName name="SUMIFExtraCredit">#REF!</definedName>
    <definedName name="Teléfono">#REF!</definedName>
    <definedName name="Tot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QnYLeByr3h2GJQx8pPALbJtS2ta4Cq+JGHi9mham8fA="/>
    </ext>
  </extLst>
</workbook>
</file>

<file path=xl/calcChain.xml><?xml version="1.0" encoding="utf-8"?>
<calcChain xmlns="http://schemas.openxmlformats.org/spreadsheetml/2006/main">
  <c r="S9" i="4" l="1"/>
  <c r="S8" i="4"/>
  <c r="M12" i="4"/>
  <c r="M11" i="4"/>
  <c r="M9" i="4"/>
  <c r="M8" i="4"/>
  <c r="E9" i="4"/>
  <c r="E8" i="4"/>
  <c r="I12" i="3"/>
  <c r="D19" i="3"/>
  <c r="E19" i="3"/>
  <c r="F19" i="3"/>
  <c r="C19" i="3"/>
  <c r="G19" i="3" s="1"/>
  <c r="G11" i="3"/>
  <c r="G12" i="3"/>
  <c r="G13" i="3"/>
  <c r="G14" i="3"/>
  <c r="G15" i="3"/>
  <c r="G16" i="3"/>
  <c r="G17" i="3"/>
  <c r="G18" i="3"/>
  <c r="G10" i="3"/>
  <c r="D38" i="2"/>
  <c r="D36" i="2"/>
  <c r="D34" i="2"/>
  <c r="C38" i="2"/>
  <c r="C36" i="2"/>
  <c r="C34" i="2"/>
  <c r="D32" i="2"/>
  <c r="C32" i="2"/>
</calcChain>
</file>

<file path=xl/sharedStrings.xml><?xml version="1.0" encoding="utf-8"?>
<sst xmlns="http://schemas.openxmlformats.org/spreadsheetml/2006/main" count="301" uniqueCount="198">
  <si>
    <t>Módulo 2</t>
  </si>
  <si>
    <t>Fórmulas y Funciones Esenciales</t>
  </si>
  <si>
    <t>Sumar no es suficiente: funciones que impresionan</t>
  </si>
  <si>
    <t>SUMA, PROMEDIO, MAX, MIN, CONTAR, CONTARA, uso de rangos</t>
  </si>
  <si>
    <t>Profe: @soydatadani</t>
  </si>
  <si>
    <t>Equipo</t>
  </si>
  <si>
    <t>Cuentas</t>
  </si>
  <si>
    <t>Pesos</t>
  </si>
  <si>
    <t>Equipo 1</t>
  </si>
  <si>
    <t>Identifica la estrustura de funciones en Excel</t>
  </si>
  <si>
    <t>Equipo 2</t>
  </si>
  <si>
    <t>Conoce las funciones básicas de Excel</t>
  </si>
  <si>
    <t>Equipo 3</t>
  </si>
  <si>
    <t>Aplica haciendo el ejercicio</t>
  </si>
  <si>
    <t>Equipo 4</t>
  </si>
  <si>
    <t>Equipo 5</t>
  </si>
  <si>
    <t>Equipo 6</t>
  </si>
  <si>
    <t>Equipo 7</t>
  </si>
  <si>
    <t>Equipo 8</t>
  </si>
  <si>
    <t>Equipo 9</t>
  </si>
  <si>
    <t>Equipo 10</t>
  </si>
  <si>
    <t>Equipo 11</t>
  </si>
  <si>
    <t>Equipo 12</t>
  </si>
  <si>
    <t>Equipo 13</t>
  </si>
  <si>
    <t>Equipo 14</t>
  </si>
  <si>
    <t>Equipo 15</t>
  </si>
  <si>
    <t>Equipo 16</t>
  </si>
  <si>
    <t>Equipo 17</t>
  </si>
  <si>
    <t>Equipo 18</t>
  </si>
  <si>
    <t>Equipo 19</t>
  </si>
  <si>
    <t>Equipo 20</t>
  </si>
  <si>
    <t>Total (SUMA)</t>
  </si>
  <si>
    <t>Promedio (PROMEDIO)</t>
  </si>
  <si>
    <t>Máximos (MAX)</t>
  </si>
  <si>
    <t>Mínimos (Min)</t>
  </si>
  <si>
    <t>Producto 1</t>
  </si>
  <si>
    <t>Q1</t>
  </si>
  <si>
    <t>Q2</t>
  </si>
  <si>
    <t>Q3</t>
  </si>
  <si>
    <t>Q4</t>
  </si>
  <si>
    <t>Total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</si>
  <si>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</si>
  <si>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</si>
  <si>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</si>
  <si>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</si>
  <si>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</si>
  <si>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</si>
  <si>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</si>
  <si>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</si>
  <si>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</si>
  <si>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Productos evaluados</t>
  </si>
  <si>
    <t>CONTAR</t>
  </si>
  <si>
    <t>Numero de Transaccion</t>
  </si>
  <si>
    <t>Monto ($)</t>
  </si>
  <si>
    <t>Responsable de Ventas</t>
  </si>
  <si>
    <t>Datos</t>
  </si>
  <si>
    <t>Ariel Detergente Líquido</t>
  </si>
  <si>
    <t>CONTARA</t>
  </si>
  <si>
    <t>TX-1000</t>
  </si>
  <si>
    <t>Luis Herrera</t>
  </si>
  <si>
    <t>Pampers Premium Care</t>
  </si>
  <si>
    <t>TX-1001</t>
  </si>
  <si>
    <t>Carlos Diaz</t>
  </si>
  <si>
    <t>Hola</t>
  </si>
  <si>
    <t>Gillette Fusion ProGlide</t>
  </si>
  <si>
    <t>TX-1002</t>
  </si>
  <si>
    <t>Ana Lopez</t>
  </si>
  <si>
    <t>Head &amp; Shoulders Clásico</t>
  </si>
  <si>
    <t>TX-1003</t>
  </si>
  <si>
    <t>Sofia Gomez</t>
  </si>
  <si>
    <t>(Vacío)</t>
  </si>
  <si>
    <t>Pantene Shampoo Repara y Protege</t>
  </si>
  <si>
    <t>TX-1004</t>
  </si>
  <si>
    <t>Oral-B Cepillo Eléctrico</t>
  </si>
  <si>
    <t>TX-1005</t>
  </si>
  <si>
    <t>Always Toallas Nocturnas</t>
  </si>
  <si>
    <t>TX-1006</t>
  </si>
  <si>
    <t>Mariana Perez</t>
  </si>
  <si>
    <t>Downy Suavizante Concentrado</t>
  </si>
  <si>
    <t>TX-1007</t>
  </si>
  <si>
    <t>Diego Torres</t>
  </si>
  <si>
    <t>Febreze Ambientador</t>
  </si>
  <si>
    <t>TX-1008</t>
  </si>
  <si>
    <t>Mr. Clean Limpiador Multiusos</t>
  </si>
  <si>
    <t>TX-1009</t>
  </si>
  <si>
    <t>Old Spice Desodorante</t>
  </si>
  <si>
    <t>TX-1010</t>
  </si>
  <si>
    <t>Vicks VapoRub</t>
  </si>
  <si>
    <t>TX-1011</t>
  </si>
  <si>
    <t>Tampax Pearl</t>
  </si>
  <si>
    <t>TX-1012</t>
  </si>
  <si>
    <t>Metamucil Fibra Natural</t>
  </si>
  <si>
    <t>TX-1013</t>
  </si>
  <si>
    <t>Crest Pasta Dental 3D White</t>
  </si>
  <si>
    <t>TX-1014</t>
  </si>
  <si>
    <t>Swiffer Mop</t>
  </si>
  <si>
    <t>TX-1015</t>
  </si>
  <si>
    <t>Ambi Pur Car</t>
  </si>
  <si>
    <t>TX-1016</t>
  </si>
  <si>
    <t>Olay Crema Regenerist</t>
  </si>
  <si>
    <t>TX-1017</t>
  </si>
  <si>
    <t>Gain Detergente</t>
  </si>
  <si>
    <t>TX-1018</t>
  </si>
  <si>
    <t>Cascade Lavavajillas</t>
  </si>
  <si>
    <t>TX-1019</t>
  </si>
  <si>
    <t>Pampers Pants</t>
  </si>
  <si>
    <t>TX-1020</t>
  </si>
  <si>
    <t>Aussie Shampoo Miracle Moist</t>
  </si>
  <si>
    <t>TX-1021</t>
  </si>
  <si>
    <t>Braun Afeitadora Series 7</t>
  </si>
  <si>
    <t>TX-1022</t>
  </si>
  <si>
    <t>ZzzQuil Gominolas</t>
  </si>
  <si>
    <t>TX-1023</t>
  </si>
  <si>
    <t>Ivory Jabón</t>
  </si>
  <si>
    <t>TX-1024</t>
  </si>
  <si>
    <t>Tide PODS</t>
  </si>
  <si>
    <t>TX-1025</t>
  </si>
  <si>
    <t>Fixodent Adhesivo Dental</t>
  </si>
  <si>
    <t>TX-1026</t>
  </si>
  <si>
    <t>Safeguard Jabón Antibacterial</t>
  </si>
  <si>
    <t>TX-1027</t>
  </si>
  <si>
    <t>Joy Lavatrastes</t>
  </si>
  <si>
    <t>TX-1028</t>
  </si>
  <si>
    <t>Lenor Suavizante Floral</t>
  </si>
  <si>
    <t>TX-1029</t>
  </si>
  <si>
    <t>TX-1030</t>
  </si>
  <si>
    <t>TX-1031</t>
  </si>
  <si>
    <t>TX-1032</t>
  </si>
  <si>
    <t>TX-1033</t>
  </si>
  <si>
    <t>TX-1034</t>
  </si>
  <si>
    <t>TX-1035</t>
  </si>
  <si>
    <t>TX-1036</t>
  </si>
  <si>
    <t>TX-1037</t>
  </si>
  <si>
    <t>TX-1038</t>
  </si>
  <si>
    <t>TX-1039</t>
  </si>
  <si>
    <t>TX-1040</t>
  </si>
  <si>
    <t>TX-1041</t>
  </si>
  <si>
    <t>TX-1042</t>
  </si>
  <si>
    <t>TX-1043</t>
  </si>
  <si>
    <t>TX-1044</t>
  </si>
  <si>
    <t>TX-1045</t>
  </si>
  <si>
    <t>TX-1046</t>
  </si>
  <si>
    <t>TX-1047</t>
  </si>
  <si>
    <t>TX-1048</t>
  </si>
  <si>
    <t>TX-1049</t>
  </si>
  <si>
    <t>TX-1050</t>
  </si>
  <si>
    <t>TX-1051</t>
  </si>
  <si>
    <t>TX-1052</t>
  </si>
  <si>
    <t>TX-1053</t>
  </si>
  <si>
    <t>TX-1054</t>
  </si>
  <si>
    <t>TX-1055</t>
  </si>
  <si>
    <t>TX-1056</t>
  </si>
  <si>
    <t>TX-1057</t>
  </si>
  <si>
    <t>TX-1058</t>
  </si>
  <si>
    <t>TX-1059</t>
  </si>
  <si>
    <t>TX-1060</t>
  </si>
  <si>
    <t>TX-1061</t>
  </si>
  <si>
    <t>TX-1062</t>
  </si>
  <si>
    <t>TX-1063</t>
  </si>
  <si>
    <t>TX-1064</t>
  </si>
  <si>
    <t>TX-1065</t>
  </si>
  <si>
    <t>TX-1066</t>
  </si>
  <si>
    <t>TX-1067</t>
  </si>
  <si>
    <t>TX-1068</t>
  </si>
  <si>
    <t>TX-1069</t>
  </si>
  <si>
    <t>TX-1070</t>
  </si>
  <si>
    <t>TX-1071</t>
  </si>
  <si>
    <t>TX-1072</t>
  </si>
  <si>
    <t>TX-1073</t>
  </si>
  <si>
    <t>TX-1074</t>
  </si>
  <si>
    <t>TX-1075</t>
  </si>
  <si>
    <t>TX-1076</t>
  </si>
  <si>
    <t>TX-1077</t>
  </si>
  <si>
    <t>TX-1078</t>
  </si>
  <si>
    <t>TX-1079</t>
  </si>
  <si>
    <t>TX-1080</t>
  </si>
  <si>
    <t>TX-1081</t>
  </si>
  <si>
    <t>TX-1082</t>
  </si>
  <si>
    <t>TX-1083</t>
  </si>
  <si>
    <t>TX-1084</t>
  </si>
  <si>
    <t>TX-1085</t>
  </si>
  <si>
    <t>TX-1086</t>
  </si>
  <si>
    <t>TX-1087</t>
  </si>
  <si>
    <t>TX-1088</t>
  </si>
  <si>
    <t>TX-1089</t>
  </si>
  <si>
    <t>TX-1090</t>
  </si>
  <si>
    <t>TX-1091</t>
  </si>
  <si>
    <t>TX-1092</t>
  </si>
  <si>
    <t>TX-1093</t>
  </si>
  <si>
    <t>TX-1094</t>
  </si>
  <si>
    <t>TX-1095</t>
  </si>
  <si>
    <t>TX-1096</t>
  </si>
  <si>
    <t>TX-1097</t>
  </si>
  <si>
    <t>TX-1098</t>
  </si>
  <si>
    <t>TX-1099</t>
  </si>
  <si>
    <t># transaccion</t>
  </si>
  <si>
    <t>Monto</t>
  </si>
  <si>
    <t>datos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</si>
</sst>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_);_(* \(#,##0\);_(* &quot;-&quot;??_);_(@_)"/>
    <numFmt numFmtId="165" formatCode="&quot;$&quot;#,##0;[Red]\-&quot;$&quot;#,##0"/>
    <numFmt numFmtId="166" formatCode="_-&quot;$&quot;* #,##0.00_-;\-&quot;$&quot;* #,##0.00_-;_-&quot;$&quot;* &quot;-&quot;??_-;_-@"/>
    <numFmt numFmtId="167" formatCode="_ [$$-340A]* #,##0.00_ ;_ [$$-340A]* \-#,##0.00_ ;_ [$$-340A]* &quot;-&quot;??_ ;_ @_ "/>
    <numFmt numFmtId="168" formatCode="_-[$$-409]* #,##0.00_ ;_-[$$-409]* \-#,##0.00\ ;_-[$$-409]* &quot;-&quot;??_ ;_-@_ "/>
  </numFmts>
  <fonts count="14">
    <font>
      <sz val="11"/>
      <color theme="1"/>
      <name val="Aptos Narrow"/>
      <scheme val="minor"/>
    </font>
    <font>
      <sz val="11"/>
      <color theme="1"/>
      <name val="Aptos Narrow"/>
    </font>
    <font>
      <sz val="48"/>
      <color theme="1"/>
      <name val="IBM Plex Sans"/>
      <family val="2"/>
    </font>
    <font>
      <sz val="18"/>
      <color rgb="FFFFFFFF"/>
      <name val="IBM Plex Sans"/>
      <family val="2"/>
    </font>
    <font>
      <sz val="14"/>
      <color theme="0"/>
      <name val="IBM Plex Sans"/>
      <family val="2"/>
    </font>
    <font>
      <sz val="22"/>
      <color theme="1"/>
      <name val="IBM Plex Sans"/>
      <family val="2"/>
    </font>
    <font>
      <sz val="11"/>
      <color theme="1"/>
      <name val="IBM Plex Sans"/>
      <family val="2"/>
    </font>
    <font>
      <b/>
      <sz val="11"/>
      <color theme="1"/>
      <name val="IBM Plex Sans"/>
      <family val="2"/>
    </font>
    <font>
      <b/>
      <sz val="11"/>
      <color rgb="FFFFFFFF"/>
      <name val="IBM Plex Sans"/>
      <family val="2"/>
    </font>
    <font>
      <b/>
      <sz val="11"/>
      <color theme="0"/>
      <name val="IBM Plex Sans"/>
      <family val="2"/>
    </font>
    <font>
      <b/>
      <sz val="11"/>
      <color rgb="FF262626"/>
      <name val="Century Gothic"/>
      <family val="2"/>
    </font>
    <font>
      <b/>
      <sz val="11"/>
      <color theme="0"/>
      <name val="Century Gothic"/>
      <family val="2"/>
    </font>
    <font>
      <b/>
      <sz val="11"/>
      <color theme="1"/>
      <name val="Century Gothic"/>
      <family val="2"/>
    </font>
    <font>
      <u/>
      <sz val="11"/>
      <color theme="1"/>
      <name val="IBM Plex Sans"/>
      <family val="2"/>
    </font>
  </fonts>
  <fills count="8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rgb="FF3F3F3F"/>
        <bgColor rgb="FF3F3F3F"/>
      </patternFill>
    </fill>
    <fill>
      <patternFill patternType="solid">
        <fgColor rgb="FFBFBFBF"/>
        <bgColor rgb="FFBFBFBF"/>
      </patternFill>
    </fill>
    <fill>
      <patternFill patternType="solid">
        <fgColor rgb="FF262626"/>
        <bgColor rgb="FF262626"/>
      </patternFill>
    </fill>
    <fill>
      <patternFill patternType="solid">
        <fgColor rgb="FFF2F2F2"/>
        <bgColor rgb="FFF2F2F2"/>
      </patternFill>
    </fill>
    <fill>
      <patternFill patternType="solid">
        <fgColor rgb="FFE8E8E8"/>
        <bgColor rgb="FFE8E8E8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Font="1" applyAlignment="1"/>
    <xf numFmtId="0" fontId="1" fillId="2" borderId="1" xfId="0" applyFont="1" applyFill="1" applyBorder="1"/>
    <xf numFmtId="0" fontId="2" fillId="2" borderId="1" xfId="0" applyFont="1" applyFill="1" applyBorder="1"/>
    <xf numFmtId="0" fontId="3" fillId="2" borderId="1" xfId="0" applyFont="1" applyFill="1" applyBorder="1" applyAlignment="1"/>
    <xf numFmtId="0" fontId="4" fillId="2" borderId="1" xfId="0" applyFont="1" applyFill="1" applyBorder="1"/>
    <xf numFmtId="0" fontId="5" fillId="2" borderId="1" xfId="0" applyFont="1" applyFill="1" applyBorder="1"/>
    <xf numFmtId="0" fontId="6" fillId="0" borderId="0" xfId="0" applyFont="1"/>
    <xf numFmtId="0" fontId="7" fillId="2" borderId="2" xfId="0" applyFont="1" applyFill="1" applyBorder="1" applyAlignment="1">
      <alignment horizontal="center" vertical="top"/>
    </xf>
    <xf numFmtId="0" fontId="7" fillId="0" borderId="2" xfId="0" applyFont="1" applyBorder="1"/>
    <xf numFmtId="0" fontId="7" fillId="2" borderId="1" xfId="0" applyFont="1" applyFill="1" applyBorder="1" applyAlignment="1">
      <alignment horizontal="center"/>
    </xf>
    <xf numFmtId="0" fontId="7" fillId="0" borderId="0" xfId="0" applyFont="1"/>
    <xf numFmtId="164" fontId="6" fillId="0" borderId="0" xfId="0" applyNumberFormat="1" applyFont="1"/>
    <xf numFmtId="9" fontId="8" fillId="3" borderId="2" xfId="0" applyNumberFormat="1" applyFont="1" applyFill="1" applyBorder="1" applyAlignment="1">
      <alignment horizontal="center" vertical="center" wrapText="1"/>
    </xf>
    <xf numFmtId="164" fontId="7" fillId="0" borderId="0" xfId="0" applyNumberFormat="1" applyFont="1"/>
    <xf numFmtId="0" fontId="9" fillId="3" borderId="1" xfId="0" applyFont="1" applyFill="1" applyBorder="1"/>
    <xf numFmtId="164" fontId="7" fillId="4" borderId="1" xfId="0" applyNumberFormat="1" applyFont="1" applyFill="1" applyBorder="1"/>
    <xf numFmtId="0" fontId="10" fillId="2" borderId="1" xfId="0" applyFont="1" applyFill="1" applyBorder="1"/>
    <xf numFmtId="0" fontId="11" fillId="5" borderId="1" xfId="0" applyFont="1" applyFill="1" applyBorder="1"/>
    <xf numFmtId="165" fontId="12" fillId="0" borderId="0" xfId="0" applyNumberFormat="1" applyFont="1"/>
    <xf numFmtId="165" fontId="12" fillId="6" borderId="1" xfId="0" applyNumberFormat="1" applyFont="1" applyFill="1" applyBorder="1"/>
    <xf numFmtId="0" fontId="9" fillId="5" borderId="1" xfId="0" applyFont="1" applyFill="1" applyBorder="1"/>
    <xf numFmtId="0" fontId="7" fillId="7" borderId="1" xfId="0" applyFont="1" applyFill="1" applyBorder="1"/>
    <xf numFmtId="166" fontId="6" fillId="0" borderId="0" xfId="0" applyNumberFormat="1" applyFont="1"/>
    <xf numFmtId="0" fontId="6" fillId="0" borderId="0" xfId="0" applyFont="1" applyAlignment="1">
      <alignment horizontal="left" vertical="center" wrapText="1"/>
    </xf>
    <xf numFmtId="167" fontId="6" fillId="0" borderId="2" xfId="0" applyNumberFormat="1" applyFont="1" applyBorder="1"/>
    <xf numFmtId="168" fontId="6" fillId="0" borderId="2" xfId="0" applyNumberFormat="1" applyFont="1" applyBorder="1"/>
    <xf numFmtId="0" fontId="13" fillId="0" borderId="0" xfId="0" applyFont="1"/>
    <xf numFmtId="165" fontId="0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476250</xdr:colOff>
      <xdr:row>1</xdr:row>
      <xdr:rowOff>19050</xdr:rowOff>
    </xdr:from>
    <xdr:ext cx="7486650" cy="8191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Funciones Básicas Excel</a:t>
          </a:r>
          <a:endParaRPr sz="3200">
            <a:solidFill>
              <a:srgbClr val="000000"/>
            </a:solidFill>
            <a:latin typeface="IBM Plex Sans"/>
            <a:ea typeface="IBM Plex Sans"/>
            <a:cs typeface="IBM Plex Sans"/>
            <a:sym typeface="IBM Plex Sans"/>
          </a:endParaRPr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95250</xdr:rowOff>
    </xdr:from>
    <xdr:ext cx="7486650" cy="8191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3F3F3F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3200"/>
            <a:buFont typeface="IBM Plex Sans"/>
            <a:buNone/>
          </a:pPr>
          <a:r>
            <a:rPr lang="en-US" sz="32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Suma en Matriz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0</xdr:row>
      <xdr:rowOff>180975</xdr:rowOff>
    </xdr:from>
    <xdr:ext cx="7486650" cy="78105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262626"/>
            </a:buClr>
            <a:buSzPts val="3200"/>
            <a:buFont typeface="IBM Plex Sans"/>
            <a:buNone/>
          </a:pPr>
          <a:r>
            <a:rPr lang="en-US" sz="3200">
              <a:solidFill>
                <a:srgbClr val="262626"/>
              </a:solidFill>
              <a:latin typeface="IBM Plex Sans"/>
              <a:ea typeface="IBM Plex Sans"/>
              <a:cs typeface="IBM Plex Sans"/>
              <a:sym typeface="IBM Plex Sans"/>
            </a:rPr>
            <a:t>CONTAR y CONTARA</a:t>
          </a:r>
          <a:endParaRPr sz="1400"/>
        </a:p>
      </xdr:txBody>
    </xdr:sp>
    <xdr:clientData fLocksWithSheet="0"/>
  </xdr:oneCellAnchor>
  <xdr:oneCellAnchor>
    <xdr:from>
      <xdr:col>20</xdr:col>
      <xdr:colOff>142875</xdr:colOff>
      <xdr:row>2</xdr:row>
      <xdr:rowOff>76200</xdr:rowOff>
    </xdr:from>
    <xdr:ext cx="8172450" cy="54959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1264538" y="1036368"/>
          <a:ext cx="8162925" cy="5487265"/>
        </a:xfrm>
        <a:prstGeom prst="round2DiagRect">
          <a:avLst>
            <a:gd name="adj1" fmla="val 16667"/>
            <a:gd name="adj2" fmla="val 0"/>
          </a:avLst>
        </a:prstGeom>
        <a:solidFill>
          <a:srgbClr val="3F3F3F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Century Gothic"/>
            <a:ea typeface="Century Gothic"/>
            <a:cs typeface="Century Gothic"/>
            <a:sym typeface="Century Gothic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🧠 ¿Cuál es la diferencia entre CONTAR y CONTARA?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En Excel, tenemos dos funciones súper parecidas pero con personalidades muy distintas: 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y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CONTARA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Ambas te ayudan a saber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“cuántas cosas hay”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, pero cada una cuenta a su manera.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b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CONTAR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Solo cuenta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celdas que tienen números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No le interesan los textos, fechas ni las celdas vacías.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Piensa en ella como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la calculadora estricta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 que solo hace caso a los números.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Ejemplo: Si tienes 5 celdas con datos y solo 3 tienen números, CONTAR te dirá: “Solo cuento 3”.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👉 CONTARA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Cuenta </a:t>
          </a: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todo lo que no esté vacío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: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Números, textos, fechas, símbolos, errores… ¡todo!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Es la función curiosa, la que se asoma y dice: </a:t>
          </a:r>
          <a:r>
            <a:rPr lang="en-US" sz="1100" i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“Si hay algo, ¡yo lo cuento!”</a:t>
          </a:r>
          <a:endParaRPr sz="11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Ejemplo: Si de esas mismas 5 celdas, 4 tienen algo (aunque sea un “Hola”), CONTARA te dirá: “Cuento 4”.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🎯 ¿Cuándo usar cada una?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Si quieres saber…Usa: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¿Cuántas celdas tienen números?  CONTAR()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¿Cuántas celdas no están vacías? CONTARA()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 b="1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Resumen corto (para que nunca se te olvide):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Función Cuenta...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 : 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Solo números.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r>
            <a:rPr lang="en-US" sz="1100" b="1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CONTARA: </a:t>
          </a:r>
          <a: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  <a:t>Todo lo que no esté vacío (números, texto, fechas, etc.).</a:t>
          </a: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br>
            <a:rPr lang="en-US" sz="1100">
              <a:solidFill>
                <a:schemeClr val="lt1"/>
              </a:solidFill>
              <a:latin typeface="IBM Plex Sans"/>
              <a:ea typeface="IBM Plex Sans"/>
              <a:cs typeface="IBM Plex Sans"/>
              <a:sym typeface="IBM Plex Sans"/>
            </a:rPr>
          </a:br>
          <a:endParaRPr sz="1100">
            <a:solidFill>
              <a:schemeClr val="lt1"/>
            </a:solidFill>
            <a:latin typeface="IBM Plex Sans"/>
            <a:ea typeface="IBM Plex Sans"/>
            <a:cs typeface="IBM Plex Sans"/>
            <a:sym typeface="IBM Plex Sans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>
            <a:solidFill>
              <a:srgbClr val="000000"/>
            </a:solidFill>
            <a:latin typeface="Century Gothic"/>
            <a:ea typeface="Century Gothic"/>
            <a:cs typeface="Century Gothic"/>
            <a:sym typeface="Century Gothic"/>
          </a:endParaRPr>
        </a:p>
      </xdr:txBody>
    </xdr:sp>
    <xdr:clientData fLock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is%20documentos/Clases/Inform&#225;tica%20IQS/EjExcel99-0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ic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39"/>
      <sheetName val="40"/>
      <sheetName val="41"/>
      <sheetName val="42"/>
      <sheetName val="43"/>
      <sheetName val="44"/>
      <sheetName val="45"/>
      <sheetName val="46"/>
      <sheetName val="47"/>
      <sheetName val="48"/>
      <sheetName val="49"/>
      <sheetName val="50"/>
      <sheetName val="51"/>
      <sheetName val="52"/>
      <sheetName val="53"/>
      <sheetName val="54"/>
      <sheetName val="55"/>
      <sheetName val="56"/>
      <sheetName val="57"/>
      <sheetName val="58"/>
      <sheetName val="59"/>
      <sheetName val="60"/>
      <sheetName val="61"/>
      <sheetName val="62"/>
      <sheetName val="63"/>
      <sheetName val="64"/>
      <sheetName val="Barna"/>
      <sheetName val="Madrid"/>
      <sheetName val="Bilbao"/>
      <sheetName val="Total"/>
      <sheetName val="65"/>
      <sheetName val="66"/>
      <sheetName val="67"/>
      <sheetName val="68"/>
      <sheetName val="69"/>
      <sheetName val="70"/>
      <sheetName val="71"/>
      <sheetName val="72"/>
      <sheetName val="73"/>
      <sheetName val="74"/>
      <sheetName val="75"/>
      <sheetName val="76"/>
      <sheetName val="77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>
      <selection activeCell="A13" sqref="A13:XFD13"/>
    </sheetView>
  </sheetViews>
  <sheetFormatPr baseColWidth="10" defaultColWidth="12.625" defaultRowHeight="15" customHeight="1"/>
  <cols>
    <col min="1" max="6" width="11.5" customWidth="1"/>
    <col min="7" max="26" width="10.625" customWidth="1"/>
  </cols>
  <sheetData>
    <row r="1" spans="1:26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0.5" customHeight="1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59.25" customHeight="1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46.5" customHeight="1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5.25" customHeight="1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topLeftCell="A4" workbookViewId="0">
      <selection activeCell="E31" sqref="E31"/>
    </sheetView>
  </sheetViews>
  <sheetFormatPr baseColWidth="10" defaultColWidth="12.625" defaultRowHeight="15" customHeight="1"/>
  <cols>
    <col min="1" max="1" width="11.5" customWidth="1"/>
    <col min="2" max="2" width="21" customWidth="1"/>
    <col min="3" max="3" width="11.5" customWidth="1"/>
    <col min="4" max="4" width="17.875" customWidth="1"/>
    <col min="5" max="6" width="11.5" customWidth="1"/>
    <col min="7" max="7" width="28.5" customWidth="1"/>
    <col min="8" max="26" width="10.625" customWidth="1"/>
  </cols>
  <sheetData>
    <row r="1" spans="1:26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4.25" customHeight="1">
      <c r="A8" s="6"/>
      <c r="B8" s="7" t="s">
        <v>5</v>
      </c>
      <c r="C8" s="7" t="s">
        <v>6</v>
      </c>
      <c r="D8" s="7" t="s">
        <v>7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4.25" customHeight="1">
      <c r="A9" s="6"/>
      <c r="B9" s="8" t="s">
        <v>8</v>
      </c>
      <c r="C9" s="25">
        <v>262</v>
      </c>
      <c r="D9" s="24">
        <v>1576846.7199999997</v>
      </c>
      <c r="E9" s="6"/>
      <c r="F9" s="9">
        <v>1</v>
      </c>
      <c r="G9" s="10" t="s">
        <v>9</v>
      </c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4.25" customHeight="1">
      <c r="A10" s="6"/>
      <c r="B10" s="8" t="s">
        <v>10</v>
      </c>
      <c r="C10" s="25">
        <v>194</v>
      </c>
      <c r="D10" s="24">
        <v>2507927.2300000009</v>
      </c>
      <c r="E10" s="6"/>
      <c r="F10" s="9">
        <v>2</v>
      </c>
      <c r="G10" s="10" t="s">
        <v>11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4.25" customHeight="1">
      <c r="A11" s="6"/>
      <c r="B11" s="8" t="s">
        <v>12</v>
      </c>
      <c r="C11" s="25">
        <v>65</v>
      </c>
      <c r="D11" s="24">
        <v>1033335.5099999998</v>
      </c>
      <c r="E11" s="6"/>
      <c r="F11" s="9">
        <v>3</v>
      </c>
      <c r="G11" s="10" t="s">
        <v>13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4.25" customHeight="1">
      <c r="A12" s="6"/>
      <c r="B12" s="8" t="s">
        <v>14</v>
      </c>
      <c r="C12" s="25">
        <v>56</v>
      </c>
      <c r="D12" s="24">
        <v>1407653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4.25" customHeight="1">
      <c r="A13" s="6"/>
      <c r="B13" s="8" t="s">
        <v>15</v>
      </c>
      <c r="C13" s="25">
        <v>77</v>
      </c>
      <c r="D13" s="24">
        <v>2758026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4.25" customHeight="1">
      <c r="A14" s="6"/>
      <c r="B14" s="8" t="s">
        <v>16</v>
      </c>
      <c r="C14" s="25">
        <v>105</v>
      </c>
      <c r="D14" s="24">
        <v>1448994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4.25" customHeight="1">
      <c r="A15" s="6"/>
      <c r="B15" s="8" t="s">
        <v>17</v>
      </c>
      <c r="C15" s="25">
        <v>249</v>
      </c>
      <c r="D15" s="24">
        <v>1879391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4.25" customHeight="1">
      <c r="A16" s="6"/>
      <c r="B16" s="8" t="s">
        <v>18</v>
      </c>
      <c r="C16" s="25">
        <v>186</v>
      </c>
      <c r="D16" s="24">
        <v>1764890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4.25" customHeight="1">
      <c r="A17" s="6"/>
      <c r="B17" s="8" t="s">
        <v>19</v>
      </c>
      <c r="C17" s="25">
        <v>243</v>
      </c>
      <c r="D17" s="24">
        <v>1949254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4.25" customHeight="1">
      <c r="A18" s="6"/>
      <c r="B18" s="8" t="s">
        <v>20</v>
      </c>
      <c r="C18" s="25">
        <v>227</v>
      </c>
      <c r="D18" s="24">
        <v>1121942</v>
      </c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4.25" customHeight="1">
      <c r="A19" s="6"/>
      <c r="B19" s="8" t="s">
        <v>21</v>
      </c>
      <c r="C19" s="25">
        <v>248</v>
      </c>
      <c r="D19" s="24">
        <v>1603021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4.25" customHeight="1">
      <c r="A20" s="6"/>
      <c r="B20" s="8" t="s">
        <v>22</v>
      </c>
      <c r="C20" s="25">
        <v>188</v>
      </c>
      <c r="D20" s="24">
        <v>1711100</v>
      </c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4.25" customHeight="1">
      <c r="A21" s="6"/>
      <c r="B21" s="8" t="s">
        <v>23</v>
      </c>
      <c r="C21" s="25">
        <v>164</v>
      </c>
      <c r="D21" s="24">
        <v>2380334</v>
      </c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4.25" customHeight="1">
      <c r="A22" s="6"/>
      <c r="B22" s="8" t="s">
        <v>24</v>
      </c>
      <c r="C22" s="25">
        <v>249</v>
      </c>
      <c r="D22" s="24">
        <v>1304678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4.25" customHeight="1">
      <c r="A23" s="6"/>
      <c r="B23" s="8" t="s">
        <v>25</v>
      </c>
      <c r="C23" s="25">
        <v>176</v>
      </c>
      <c r="D23" s="24">
        <v>1631577</v>
      </c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4.25" customHeight="1">
      <c r="A24" s="6"/>
      <c r="B24" s="8" t="s">
        <v>26</v>
      </c>
      <c r="C24" s="25">
        <v>76</v>
      </c>
      <c r="D24" s="24">
        <v>2063474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4.25" customHeight="1">
      <c r="A25" s="6"/>
      <c r="B25" s="8" t="s">
        <v>27</v>
      </c>
      <c r="C25" s="25">
        <v>65</v>
      </c>
      <c r="D25" s="24">
        <v>2391510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4.25" customHeight="1">
      <c r="A26" s="6"/>
      <c r="B26" s="8" t="s">
        <v>28</v>
      </c>
      <c r="C26" s="25">
        <v>116</v>
      </c>
      <c r="D26" s="24">
        <v>1977144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4.25" customHeight="1">
      <c r="A27" s="6"/>
      <c r="B27" s="8" t="s">
        <v>29</v>
      </c>
      <c r="C27" s="25">
        <v>214</v>
      </c>
      <c r="D27" s="24">
        <v>1709080</v>
      </c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4.25" customHeight="1">
      <c r="A28" s="6"/>
      <c r="B28" s="8" t="s">
        <v>30</v>
      </c>
      <c r="C28" s="25">
        <v>171</v>
      </c>
      <c r="D28" s="24">
        <v>1700877</v>
      </c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4.25" customHeight="1">
      <c r="A29" s="6"/>
      <c r="B29" s="6"/>
      <c r="C29" s="11"/>
      <c r="D29" s="11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4.25" customHeight="1">
      <c r="A30" s="6"/>
      <c r="B30" s="6"/>
      <c r="C30" s="12" t="s">
        <v>6</v>
      </c>
      <c r="D30" s="12" t="s">
        <v>7</v>
      </c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4.25" customHeight="1">
      <c r="A31" s="6"/>
      <c r="B31" s="10"/>
      <c r="C31" s="13"/>
      <c r="D31" s="13"/>
      <c r="E31" s="2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4.25" customHeight="1">
      <c r="A32" s="6"/>
      <c r="B32" s="14" t="s">
        <v>31</v>
      </c>
      <c r="C32" s="15">
        <f>SUM(C9:C28)</f>
        <v>3331</v>
      </c>
      <c r="D32" s="15">
        <f>SUM(D9:D28)</f>
        <v>35921054.460000001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4.25" customHeight="1">
      <c r="A33" s="6"/>
      <c r="B33" s="10"/>
      <c r="C33" s="13"/>
      <c r="D33" s="13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4.25" customHeight="1">
      <c r="A34" s="6"/>
      <c r="B34" s="14" t="s">
        <v>32</v>
      </c>
      <c r="C34" s="15">
        <f>AVERAGE(C9:C28)</f>
        <v>166.55</v>
      </c>
      <c r="D34" s="15">
        <f>AVERAGE(D9:D28)</f>
        <v>1796052.723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4.25" customHeight="1">
      <c r="A35" s="6"/>
      <c r="B35" s="10"/>
      <c r="C35" s="10"/>
      <c r="D35" s="10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4.25" customHeight="1">
      <c r="A36" s="6"/>
      <c r="B36" s="14" t="s">
        <v>33</v>
      </c>
      <c r="C36" s="15">
        <f>MAX(C9:C28)</f>
        <v>262</v>
      </c>
      <c r="D36" s="15">
        <f>MAX(D9:D28)</f>
        <v>2758026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4.25" customHeight="1">
      <c r="A37" s="6"/>
      <c r="B37" s="10"/>
      <c r="C37" s="10"/>
      <c r="D37" s="10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4.25" customHeight="1">
      <c r="A38" s="6"/>
      <c r="B38" s="14" t="s">
        <v>34</v>
      </c>
      <c r="C38" s="15">
        <f>MIN(C9:C28)</f>
        <v>56</v>
      </c>
      <c r="D38" s="15">
        <f>MIN(D9:D28)</f>
        <v>1033335.5099999998</v>
      </c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spans="1:2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spans="1:26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spans="1:26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spans="1:26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spans="1:26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conditionalFormatting sqref="D9:D2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C9:C2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I1000"/>
  <sheetViews>
    <sheetView workbookViewId="0">
      <selection activeCell="I18" sqref="I18"/>
    </sheetView>
  </sheetViews>
  <sheetFormatPr baseColWidth="10" defaultColWidth="12.625" defaultRowHeight="15" customHeight="1"/>
  <cols>
    <col min="1" max="1" width="10.625" customWidth="1"/>
    <col min="2" max="2" width="12.5" customWidth="1"/>
    <col min="3" max="6" width="12.125" customWidth="1"/>
    <col min="7" max="26" width="10.625" customWidth="1"/>
  </cols>
  <sheetData>
    <row r="1" spans="2:9" ht="14.25" customHeight="1"/>
    <row r="2" spans="2:9" ht="14.25" customHeight="1"/>
    <row r="3" spans="2:9" ht="14.25" customHeight="1"/>
    <row r="4" spans="2:9" ht="14.25" customHeight="1"/>
    <row r="5" spans="2:9" ht="14.25" customHeight="1"/>
    <row r="6" spans="2:9" ht="14.25" customHeight="1"/>
    <row r="7" spans="2:9" ht="14.25" customHeight="1"/>
    <row r="8" spans="2:9" ht="14.25" customHeight="1"/>
    <row r="9" spans="2:9" ht="14.25" customHeight="1">
      <c r="B9" s="16" t="s">
        <v>35</v>
      </c>
      <c r="C9" s="16" t="s">
        <v>36</v>
      </c>
      <c r="D9" s="16" t="s">
        <v>37</v>
      </c>
      <c r="E9" s="16" t="s">
        <v>38</v>
      </c>
      <c r="F9" s="16" t="s">
        <v>39</v>
      </c>
      <c r="G9" s="17" t="s">
        <v>40</v>
      </c>
    </row>
    <row r="10" spans="2:9" ht="14.25" customHeight="1">
      <c r="B10" s="16" t="s">
        <v>41</v>
      </c>
      <c r="C10" s="18">
        <v>20871</v>
      </c>
      <c r="D10" s="18">
        <v>85771</v>
      </c>
      <c r="E10" s="18">
        <v>80715</v>
      </c>
      <c r="F10" s="18">
        <v>51450</v>
      </c>
      <c r="G10" s="19">
        <f>SUM(C10:F10)</f>
        <v>238807</v>
      </c>
    </row>
    <row r="11" spans="2:9" ht="14.25" customHeight="1">
      <c r="B11" s="16" t="s">
        <v>42</v>
      </c>
      <c r="C11" s="18">
        <v>36616</v>
      </c>
      <c r="D11" s="18">
        <v>25477</v>
      </c>
      <c r="E11" s="18">
        <v>85724</v>
      </c>
      <c r="F11" s="18">
        <v>33295</v>
      </c>
      <c r="G11" s="19">
        <f t="shared" ref="G11:G19" si="0">SUM(C11:F11)</f>
        <v>181112</v>
      </c>
    </row>
    <row r="12" spans="2:9" ht="14.25" customHeight="1">
      <c r="B12" s="16" t="s">
        <v>43</v>
      </c>
      <c r="C12" s="18">
        <v>22093</v>
      </c>
      <c r="D12" s="18">
        <v>97362</v>
      </c>
      <c r="E12" s="18">
        <v>47924</v>
      </c>
      <c r="F12" s="18">
        <v>70780</v>
      </c>
      <c r="G12" s="19">
        <f t="shared" si="0"/>
        <v>238159</v>
      </c>
      <c r="I12" s="27">
        <f>SUM(G10:G18)</f>
        <v>2085853</v>
      </c>
    </row>
    <row r="13" spans="2:9" ht="14.25" customHeight="1">
      <c r="B13" s="16" t="s">
        <v>44</v>
      </c>
      <c r="C13" s="18">
        <v>21387</v>
      </c>
      <c r="D13" s="18">
        <v>70135</v>
      </c>
      <c r="E13" s="18">
        <v>43655</v>
      </c>
      <c r="F13" s="18">
        <v>88325</v>
      </c>
      <c r="G13" s="19">
        <f t="shared" si="0"/>
        <v>223502</v>
      </c>
    </row>
    <row r="14" spans="2:9" ht="14.25" customHeight="1">
      <c r="B14" s="16" t="s">
        <v>45</v>
      </c>
      <c r="C14" s="18">
        <v>44919</v>
      </c>
      <c r="D14" s="18">
        <v>77238</v>
      </c>
      <c r="E14" s="18">
        <v>42619</v>
      </c>
      <c r="F14" s="18">
        <v>83041</v>
      </c>
      <c r="G14" s="19">
        <f t="shared" si="0"/>
        <v>247817</v>
      </c>
    </row>
    <row r="15" spans="2:9" ht="14.25" customHeight="1">
      <c r="B15" s="16" t="s">
        <v>46</v>
      </c>
      <c r="C15" s="18">
        <v>86145</v>
      </c>
      <c r="D15" s="18">
        <v>64382</v>
      </c>
      <c r="E15" s="18">
        <v>22803</v>
      </c>
      <c r="F15" s="18">
        <v>51330</v>
      </c>
      <c r="G15" s="19">
        <f t="shared" si="0"/>
        <v>224660</v>
      </c>
    </row>
    <row r="16" spans="2:9" ht="14.25" customHeight="1">
      <c r="B16" s="16" t="s">
        <v>47</v>
      </c>
      <c r="C16" s="18">
        <v>46862</v>
      </c>
      <c r="D16" s="18">
        <v>78757</v>
      </c>
      <c r="E16" s="18">
        <v>53871</v>
      </c>
      <c r="F16" s="18">
        <v>81694</v>
      </c>
      <c r="G16" s="19">
        <f t="shared" si="0"/>
        <v>261184</v>
      </c>
    </row>
    <row r="17" spans="2:7" ht="14.25" customHeight="1">
      <c r="B17" s="16" t="s">
        <v>48</v>
      </c>
      <c r="C17" s="18">
        <v>59767</v>
      </c>
      <c r="D17" s="18">
        <v>26446</v>
      </c>
      <c r="E17" s="18">
        <v>81571</v>
      </c>
      <c r="F17" s="18">
        <v>70001</v>
      </c>
      <c r="G17" s="19">
        <f t="shared" si="0"/>
        <v>237785</v>
      </c>
    </row>
    <row r="18" spans="2:7" ht="14.25" customHeight="1">
      <c r="B18" s="16" t="s">
        <v>49</v>
      </c>
      <c r="C18" s="18">
        <v>56413</v>
      </c>
      <c r="D18" s="18">
        <v>90930</v>
      </c>
      <c r="E18" s="18">
        <v>21336</v>
      </c>
      <c r="F18" s="18">
        <v>64148</v>
      </c>
      <c r="G18" s="19">
        <f t="shared" si="0"/>
        <v>232827</v>
      </c>
    </row>
    <row r="19" spans="2:7" ht="14.25" customHeight="1">
      <c r="B19" s="17" t="s">
        <v>40</v>
      </c>
      <c r="C19" s="19">
        <f>SUM(C10:C18)</f>
        <v>395073</v>
      </c>
      <c r="D19" s="19">
        <f t="shared" ref="D19:F19" si="1">SUM(D10:D18)</f>
        <v>616498</v>
      </c>
      <c r="E19" s="19">
        <f t="shared" si="1"/>
        <v>480218</v>
      </c>
      <c r="F19" s="19">
        <f t="shared" si="1"/>
        <v>594064</v>
      </c>
      <c r="G19" s="19">
        <f t="shared" si="0"/>
        <v>2085853</v>
      </c>
    </row>
    <row r="20" spans="2:7" ht="14.25" customHeight="1"/>
    <row r="21" spans="2:7" ht="14.25" customHeight="1"/>
    <row r="22" spans="2:7" ht="14.25" customHeight="1"/>
    <row r="23" spans="2:7" ht="14.25" customHeight="1"/>
    <row r="24" spans="2:7" ht="14.25" customHeight="1"/>
    <row r="25" spans="2:7" ht="14.25" customHeight="1"/>
    <row r="26" spans="2:7" ht="14.25" customHeight="1"/>
    <row r="27" spans="2:7" ht="14.25" customHeight="1"/>
    <row r="28" spans="2:7" ht="14.25" customHeight="1"/>
    <row r="29" spans="2:7" ht="14.25" customHeight="1"/>
    <row r="30" spans="2:7" ht="14.25" customHeight="1"/>
    <row r="31" spans="2:7" ht="14.25" customHeight="1"/>
    <row r="32" spans="2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1000"/>
  <sheetViews>
    <sheetView tabSelected="1" topLeftCell="M1" workbookViewId="0">
      <selection activeCell="S10" sqref="S10"/>
    </sheetView>
  </sheetViews>
  <sheetFormatPr baseColWidth="10" defaultColWidth="12.625" defaultRowHeight="15" customHeight="1"/>
  <cols>
    <col min="1" max="1" width="11.5" customWidth="1"/>
    <col min="2" max="2" width="37.875" customWidth="1"/>
    <col min="3" max="4" width="11.5" customWidth="1"/>
    <col min="5" max="5" width="11.625" customWidth="1"/>
    <col min="6" max="6" width="11.5" customWidth="1"/>
    <col min="7" max="7" width="24.5" customWidth="1"/>
    <col min="8" max="8" width="13.875" customWidth="1"/>
    <col min="9" max="9" width="24.25" customWidth="1"/>
    <col min="10" max="10" width="11.5" customWidth="1"/>
    <col min="11" max="11" width="13.625" customWidth="1"/>
    <col min="12" max="12" width="11.5" customWidth="1"/>
    <col min="13" max="13" width="11.625" customWidth="1"/>
    <col min="14" max="14" width="11.5" customWidth="1"/>
    <col min="15" max="16" width="11.625" customWidth="1"/>
    <col min="17" max="18" width="11.5" customWidth="1"/>
    <col min="19" max="19" width="11.625" customWidth="1"/>
    <col min="20" max="31" width="10.625" customWidth="1"/>
  </cols>
  <sheetData>
    <row r="1" spans="1:31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4.2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</row>
    <row r="3" spans="1:31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14.2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</row>
    <row r="5" spans="1:31" ht="14.2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</row>
    <row r="6" spans="1:31" ht="14.2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</row>
    <row r="7" spans="1:31" ht="14.2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</row>
    <row r="8" spans="1:31" ht="14.25" customHeight="1">
      <c r="A8" s="6"/>
      <c r="B8" s="20" t="s">
        <v>50</v>
      </c>
      <c r="C8" s="6"/>
      <c r="D8" s="20" t="s">
        <v>51</v>
      </c>
      <c r="E8" s="21">
        <f>COUNT(B9:B38)</f>
        <v>0</v>
      </c>
      <c r="F8" s="6"/>
      <c r="G8" s="20" t="s">
        <v>52</v>
      </c>
      <c r="H8" s="20" t="s">
        <v>53</v>
      </c>
      <c r="I8" s="20" t="s">
        <v>54</v>
      </c>
      <c r="J8" s="6"/>
      <c r="K8" s="6" t="s">
        <v>195</v>
      </c>
      <c r="L8" s="20" t="s">
        <v>51</v>
      </c>
      <c r="M8" s="21">
        <f>COUNT(G9:G108)</f>
        <v>0</v>
      </c>
      <c r="N8" s="6"/>
      <c r="O8" s="20" t="s">
        <v>55</v>
      </c>
      <c r="P8" s="20"/>
      <c r="Q8" s="6" t="s">
        <v>197</v>
      </c>
      <c r="R8" s="20" t="s">
        <v>51</v>
      </c>
      <c r="S8" s="21">
        <f>COUNT(O9:O13)</f>
        <v>3</v>
      </c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</row>
    <row r="9" spans="1:31" ht="14.25" customHeight="1">
      <c r="A9" s="6"/>
      <c r="B9" s="6" t="s">
        <v>56</v>
      </c>
      <c r="C9" s="6"/>
      <c r="D9" s="20" t="s">
        <v>57</v>
      </c>
      <c r="E9" s="21">
        <f>COUNTA(B9:B38)</f>
        <v>30</v>
      </c>
      <c r="F9" s="6"/>
      <c r="G9" s="6" t="s">
        <v>58</v>
      </c>
      <c r="H9" s="22">
        <v>5085</v>
      </c>
      <c r="I9" s="6" t="s">
        <v>59</v>
      </c>
      <c r="J9" s="6"/>
      <c r="K9" s="6"/>
      <c r="L9" s="20" t="s">
        <v>57</v>
      </c>
      <c r="M9" s="21">
        <f>COUNTA(G9:G108)</f>
        <v>100</v>
      </c>
      <c r="N9" s="6"/>
      <c r="O9" s="23">
        <v>15</v>
      </c>
      <c r="P9" s="23"/>
      <c r="Q9" s="6"/>
      <c r="R9" s="20" t="s">
        <v>57</v>
      </c>
      <c r="S9" s="21">
        <f>COUNTA(O9:O13)</f>
        <v>5</v>
      </c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</row>
    <row r="10" spans="1:31" ht="14.25" customHeight="1">
      <c r="A10" s="6"/>
      <c r="B10" s="6" t="s">
        <v>60</v>
      </c>
      <c r="C10" s="6"/>
      <c r="D10" s="6"/>
      <c r="E10" s="6"/>
      <c r="F10" s="6"/>
      <c r="G10" s="6" t="s">
        <v>61</v>
      </c>
      <c r="H10" s="22">
        <v>6428</v>
      </c>
      <c r="I10" s="6" t="s">
        <v>62</v>
      </c>
      <c r="J10" s="6"/>
      <c r="K10" s="6"/>
      <c r="L10" s="6"/>
      <c r="M10" s="6"/>
      <c r="N10" s="6"/>
      <c r="O10" s="23" t="s">
        <v>63</v>
      </c>
      <c r="P10" s="23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</row>
    <row r="11" spans="1:31" ht="14.25" customHeight="1">
      <c r="A11" s="6"/>
      <c r="B11" s="6" t="s">
        <v>64</v>
      </c>
      <c r="C11" s="6"/>
      <c r="D11" s="6"/>
      <c r="E11" s="6"/>
      <c r="F11" s="6"/>
      <c r="G11" s="6" t="s">
        <v>65</v>
      </c>
      <c r="H11" s="22">
        <v>7163</v>
      </c>
      <c r="I11" s="6" t="s">
        <v>66</v>
      </c>
      <c r="J11" s="6"/>
      <c r="K11" s="6" t="s">
        <v>196</v>
      </c>
      <c r="L11" s="20" t="s">
        <v>51</v>
      </c>
      <c r="M11" s="21">
        <f>COUNT(H9:H108)</f>
        <v>100</v>
      </c>
      <c r="N11" s="6"/>
      <c r="O11" s="23">
        <v>28</v>
      </c>
      <c r="P11" s="2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</row>
    <row r="12" spans="1:31" ht="14.25" customHeight="1">
      <c r="A12" s="6"/>
      <c r="B12" s="6" t="s">
        <v>67</v>
      </c>
      <c r="C12" s="6"/>
      <c r="D12" s="6"/>
      <c r="E12" s="6"/>
      <c r="F12" s="6"/>
      <c r="G12" s="6" t="s">
        <v>68</v>
      </c>
      <c r="H12" s="22">
        <v>7656</v>
      </c>
      <c r="I12" s="6" t="s">
        <v>69</v>
      </c>
      <c r="J12" s="6"/>
      <c r="K12" s="6"/>
      <c r="L12" s="20" t="s">
        <v>57</v>
      </c>
      <c r="M12" s="21">
        <f>COUNTA(H9:H108)</f>
        <v>100</v>
      </c>
      <c r="N12" s="6"/>
      <c r="O12" s="23" t="s">
        <v>70</v>
      </c>
      <c r="P12" s="23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</row>
    <row r="13" spans="1:31" ht="14.25" customHeight="1">
      <c r="A13" s="6"/>
      <c r="B13" s="6" t="s">
        <v>71</v>
      </c>
      <c r="C13" s="6"/>
      <c r="D13" s="6"/>
      <c r="E13" s="6"/>
      <c r="F13" s="6"/>
      <c r="G13" s="6" t="s">
        <v>72</v>
      </c>
      <c r="H13" s="22">
        <v>18408</v>
      </c>
      <c r="I13" s="6" t="s">
        <v>66</v>
      </c>
      <c r="J13" s="6"/>
      <c r="K13" s="6"/>
      <c r="L13" s="6"/>
      <c r="M13" s="6"/>
      <c r="N13" s="6"/>
      <c r="O13" s="23">
        <v>40</v>
      </c>
      <c r="P13" s="23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spans="1:31" ht="14.25" customHeight="1">
      <c r="A14" s="6"/>
      <c r="B14" s="6" t="s">
        <v>73</v>
      </c>
      <c r="C14" s="6"/>
      <c r="D14" s="6"/>
      <c r="E14" s="6"/>
      <c r="F14" s="6"/>
      <c r="G14" s="6" t="s">
        <v>74</v>
      </c>
      <c r="H14" s="22">
        <v>1623</v>
      </c>
      <c r="I14" s="6" t="s">
        <v>69</v>
      </c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</row>
    <row r="15" spans="1:31" ht="14.25" customHeight="1">
      <c r="A15" s="6"/>
      <c r="B15" s="6" t="s">
        <v>75</v>
      </c>
      <c r="C15" s="6"/>
      <c r="D15" s="6"/>
      <c r="E15" s="6"/>
      <c r="F15" s="6"/>
      <c r="G15" s="6" t="s">
        <v>76</v>
      </c>
      <c r="H15" s="22">
        <v>11958</v>
      </c>
      <c r="I15" s="6" t="s">
        <v>77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</row>
    <row r="16" spans="1:31" ht="14.25" customHeight="1">
      <c r="A16" s="6"/>
      <c r="B16" s="6" t="s">
        <v>78</v>
      </c>
      <c r="C16" s="6"/>
      <c r="D16" s="6"/>
      <c r="E16" s="6"/>
      <c r="F16" s="6"/>
      <c r="G16" s="6" t="s">
        <v>79</v>
      </c>
      <c r="H16" s="22">
        <v>1091</v>
      </c>
      <c r="I16" s="6" t="s">
        <v>80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</row>
    <row r="17" spans="1:31" ht="14.25" customHeight="1">
      <c r="A17" s="6"/>
      <c r="B17" s="6" t="s">
        <v>81</v>
      </c>
      <c r="C17" s="6"/>
      <c r="D17" s="6"/>
      <c r="E17" s="6"/>
      <c r="F17" s="6"/>
      <c r="G17" s="6" t="s">
        <v>82</v>
      </c>
      <c r="H17" s="22">
        <v>6531</v>
      </c>
      <c r="I17" s="6" t="s">
        <v>59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</row>
    <row r="18" spans="1:31" ht="14.25" customHeight="1">
      <c r="A18" s="6"/>
      <c r="B18" s="6" t="s">
        <v>83</v>
      </c>
      <c r="C18" s="6"/>
      <c r="D18" s="6"/>
      <c r="E18" s="6"/>
      <c r="F18" s="6"/>
      <c r="G18" s="6" t="s">
        <v>84</v>
      </c>
      <c r="H18" s="22">
        <v>5546</v>
      </c>
      <c r="I18" s="6" t="s">
        <v>59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</row>
    <row r="19" spans="1:31" ht="14.25" customHeight="1">
      <c r="A19" s="6"/>
      <c r="B19" s="6" t="s">
        <v>85</v>
      </c>
      <c r="C19" s="6"/>
      <c r="D19" s="6"/>
      <c r="E19" s="6"/>
      <c r="F19" s="6"/>
      <c r="G19" s="6" t="s">
        <v>86</v>
      </c>
      <c r="H19" s="22">
        <v>16287</v>
      </c>
      <c r="I19" s="6" t="s">
        <v>69</v>
      </c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</row>
    <row r="20" spans="1:31" ht="14.25" customHeight="1">
      <c r="A20" s="6"/>
      <c r="B20" s="6" t="s">
        <v>87</v>
      </c>
      <c r="C20" s="6"/>
      <c r="D20" s="6"/>
      <c r="E20" s="6"/>
      <c r="F20" s="6"/>
      <c r="G20" s="6" t="s">
        <v>88</v>
      </c>
      <c r="H20" s="22">
        <v>14666</v>
      </c>
      <c r="I20" s="6" t="s">
        <v>59</v>
      </c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</row>
    <row r="21" spans="1:31" ht="14.25" customHeight="1">
      <c r="A21" s="6"/>
      <c r="B21" s="6" t="s">
        <v>89</v>
      </c>
      <c r="C21" s="6"/>
      <c r="D21" s="6"/>
      <c r="E21" s="6"/>
      <c r="F21" s="6"/>
      <c r="G21" s="6" t="s">
        <v>90</v>
      </c>
      <c r="H21" s="22">
        <v>11287</v>
      </c>
      <c r="I21" s="6" t="s">
        <v>66</v>
      </c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</row>
    <row r="22" spans="1:31" ht="14.25" customHeight="1">
      <c r="A22" s="6"/>
      <c r="B22" s="6" t="s">
        <v>91</v>
      </c>
      <c r="C22" s="6"/>
      <c r="D22" s="6"/>
      <c r="E22" s="6"/>
      <c r="F22" s="6"/>
      <c r="G22" s="6" t="s">
        <v>92</v>
      </c>
      <c r="H22" s="22">
        <v>15468</v>
      </c>
      <c r="I22" s="6" t="s">
        <v>69</v>
      </c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</row>
    <row r="23" spans="1:31" ht="14.25" customHeight="1">
      <c r="A23" s="6"/>
      <c r="B23" s="6" t="s">
        <v>93</v>
      </c>
      <c r="C23" s="6"/>
      <c r="D23" s="6"/>
      <c r="E23" s="6"/>
      <c r="F23" s="6"/>
      <c r="G23" s="6" t="s">
        <v>94</v>
      </c>
      <c r="H23" s="22">
        <v>9146</v>
      </c>
      <c r="I23" s="6" t="s">
        <v>69</v>
      </c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</row>
    <row r="24" spans="1:31" ht="14.25" customHeight="1">
      <c r="A24" s="6"/>
      <c r="B24" s="6" t="s">
        <v>95</v>
      </c>
      <c r="C24" s="6"/>
      <c r="D24" s="6"/>
      <c r="E24" s="6"/>
      <c r="F24" s="6"/>
      <c r="G24" s="6" t="s">
        <v>96</v>
      </c>
      <c r="H24" s="22">
        <v>2237</v>
      </c>
      <c r="I24" s="6" t="s">
        <v>80</v>
      </c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</row>
    <row r="25" spans="1:31" ht="14.25" customHeight="1">
      <c r="A25" s="6"/>
      <c r="B25" s="6" t="s">
        <v>97</v>
      </c>
      <c r="C25" s="6"/>
      <c r="D25" s="6"/>
      <c r="E25" s="6"/>
      <c r="F25" s="6"/>
      <c r="G25" s="6" t="s">
        <v>98</v>
      </c>
      <c r="H25" s="22">
        <v>3278</v>
      </c>
      <c r="I25" s="6" t="s">
        <v>69</v>
      </c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</row>
    <row r="26" spans="1:31" ht="14.25" customHeight="1">
      <c r="A26" s="6"/>
      <c r="B26" s="6" t="s">
        <v>99</v>
      </c>
      <c r="C26" s="6"/>
      <c r="D26" s="6"/>
      <c r="E26" s="6"/>
      <c r="F26" s="6"/>
      <c r="G26" s="6" t="s">
        <v>100</v>
      </c>
      <c r="H26" s="22">
        <v>7153</v>
      </c>
      <c r="I26" s="6" t="s">
        <v>77</v>
      </c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spans="1:31" ht="14.25" customHeight="1">
      <c r="A27" s="6"/>
      <c r="B27" s="6" t="s">
        <v>101</v>
      </c>
      <c r="C27" s="6"/>
      <c r="D27" s="6"/>
      <c r="E27" s="6"/>
      <c r="F27" s="6"/>
      <c r="G27" s="6" t="s">
        <v>102</v>
      </c>
      <c r="H27" s="22">
        <v>3389</v>
      </c>
      <c r="I27" s="6" t="s">
        <v>69</v>
      </c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</row>
    <row r="28" spans="1:31" ht="14.25" customHeight="1">
      <c r="A28" s="6"/>
      <c r="B28" s="6" t="s">
        <v>103</v>
      </c>
      <c r="C28" s="6"/>
      <c r="D28" s="6"/>
      <c r="E28" s="6"/>
      <c r="F28" s="6"/>
      <c r="G28" s="6" t="s">
        <v>104</v>
      </c>
      <c r="H28" s="22">
        <v>13605</v>
      </c>
      <c r="I28" s="6" t="s">
        <v>66</v>
      </c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spans="1:31" ht="14.25" customHeight="1">
      <c r="A29" s="6"/>
      <c r="B29" s="6" t="s">
        <v>105</v>
      </c>
      <c r="C29" s="6"/>
      <c r="D29" s="6"/>
      <c r="E29" s="6"/>
      <c r="F29" s="6"/>
      <c r="G29" s="6" t="s">
        <v>106</v>
      </c>
      <c r="H29" s="22">
        <v>12190</v>
      </c>
      <c r="I29" s="6" t="s">
        <v>77</v>
      </c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</row>
    <row r="30" spans="1:31" ht="14.25" customHeight="1">
      <c r="A30" s="6"/>
      <c r="B30" s="6" t="s">
        <v>107</v>
      </c>
      <c r="C30" s="6"/>
      <c r="D30" s="6"/>
      <c r="E30" s="6"/>
      <c r="F30" s="6"/>
      <c r="G30" s="6" t="s">
        <v>108</v>
      </c>
      <c r="H30" s="22">
        <v>14404</v>
      </c>
      <c r="I30" s="6" t="s">
        <v>77</v>
      </c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</row>
    <row r="31" spans="1:31" ht="14.25" customHeight="1">
      <c r="A31" s="6"/>
      <c r="B31" s="6" t="s">
        <v>109</v>
      </c>
      <c r="C31" s="6"/>
      <c r="D31" s="6"/>
      <c r="E31" s="6"/>
      <c r="F31" s="6"/>
      <c r="G31" s="6" t="s">
        <v>110</v>
      </c>
      <c r="H31" s="22">
        <v>8858</v>
      </c>
      <c r="I31" s="6" t="s">
        <v>66</v>
      </c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spans="1:31" ht="14.25" customHeight="1">
      <c r="A32" s="6"/>
      <c r="B32" s="6" t="s">
        <v>111</v>
      </c>
      <c r="C32" s="6"/>
      <c r="D32" s="6"/>
      <c r="E32" s="6"/>
      <c r="F32" s="6"/>
      <c r="G32" s="6" t="s">
        <v>112</v>
      </c>
      <c r="H32" s="22">
        <v>2332</v>
      </c>
      <c r="I32" s="6" t="s">
        <v>66</v>
      </c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</row>
    <row r="33" spans="1:31" ht="14.25" customHeight="1">
      <c r="A33" s="6"/>
      <c r="B33" s="6" t="s">
        <v>113</v>
      </c>
      <c r="C33" s="6"/>
      <c r="D33" s="6"/>
      <c r="E33" s="6"/>
      <c r="F33" s="6"/>
      <c r="G33" s="6" t="s">
        <v>114</v>
      </c>
      <c r="H33" s="22">
        <v>10669</v>
      </c>
      <c r="I33" s="6" t="s">
        <v>77</v>
      </c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spans="1:31" ht="14.25" customHeight="1">
      <c r="A34" s="6"/>
      <c r="B34" s="6" t="s">
        <v>115</v>
      </c>
      <c r="C34" s="6"/>
      <c r="D34" s="6"/>
      <c r="E34" s="6"/>
      <c r="F34" s="6"/>
      <c r="G34" s="6" t="s">
        <v>116</v>
      </c>
      <c r="H34" s="22">
        <v>2222</v>
      </c>
      <c r="I34" s="6" t="s">
        <v>62</v>
      </c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</row>
    <row r="35" spans="1:31" ht="14.25" customHeight="1">
      <c r="A35" s="6"/>
      <c r="B35" s="6" t="s">
        <v>117</v>
      </c>
      <c r="C35" s="6"/>
      <c r="D35" s="6"/>
      <c r="E35" s="6"/>
      <c r="F35" s="6"/>
      <c r="G35" s="6" t="s">
        <v>118</v>
      </c>
      <c r="H35" s="22">
        <v>4520</v>
      </c>
      <c r="I35" s="6" t="s">
        <v>66</v>
      </c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spans="1:31" ht="14.25" customHeight="1">
      <c r="A36" s="6"/>
      <c r="B36" s="6" t="s">
        <v>119</v>
      </c>
      <c r="C36" s="6"/>
      <c r="D36" s="6"/>
      <c r="E36" s="6"/>
      <c r="F36" s="6"/>
      <c r="G36" s="6" t="s">
        <v>120</v>
      </c>
      <c r="H36" s="22">
        <v>15667</v>
      </c>
      <c r="I36" s="6" t="s">
        <v>80</v>
      </c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</row>
    <row r="37" spans="1:31" ht="14.25" customHeight="1">
      <c r="A37" s="6"/>
      <c r="B37" s="6" t="s">
        <v>121</v>
      </c>
      <c r="C37" s="6"/>
      <c r="D37" s="6"/>
      <c r="E37" s="6"/>
      <c r="F37" s="6"/>
      <c r="G37" s="6" t="s">
        <v>122</v>
      </c>
      <c r="H37" s="22">
        <v>9145</v>
      </c>
      <c r="I37" s="6" t="s">
        <v>69</v>
      </c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</row>
    <row r="38" spans="1:31" ht="14.25" customHeight="1">
      <c r="A38" s="6"/>
      <c r="B38" s="6" t="s">
        <v>123</v>
      </c>
      <c r="C38" s="6"/>
      <c r="D38" s="6"/>
      <c r="E38" s="6"/>
      <c r="F38" s="6"/>
      <c r="G38" s="6" t="s">
        <v>124</v>
      </c>
      <c r="H38" s="22">
        <v>18551</v>
      </c>
      <c r="I38" s="6" t="s">
        <v>77</v>
      </c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</row>
    <row r="39" spans="1:31" ht="14.25" customHeight="1">
      <c r="A39" s="6"/>
      <c r="B39" s="6"/>
      <c r="C39" s="6"/>
      <c r="D39" s="6"/>
      <c r="E39" s="6"/>
      <c r="F39" s="6"/>
      <c r="G39" s="6" t="s">
        <v>125</v>
      </c>
      <c r="H39" s="22">
        <v>4156</v>
      </c>
      <c r="I39" s="6" t="s">
        <v>66</v>
      </c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spans="1:31" ht="14.25" customHeight="1">
      <c r="A40" s="6"/>
      <c r="B40" s="6"/>
      <c r="C40" s="6"/>
      <c r="D40" s="6"/>
      <c r="E40" s="6"/>
      <c r="F40" s="6"/>
      <c r="G40" s="6" t="s">
        <v>126</v>
      </c>
      <c r="H40" s="22">
        <v>14110</v>
      </c>
      <c r="I40" s="6" t="s">
        <v>77</v>
      </c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</row>
    <row r="41" spans="1:31" ht="14.25" customHeight="1">
      <c r="A41" s="6"/>
      <c r="B41" s="6"/>
      <c r="C41" s="6"/>
      <c r="D41" s="6"/>
      <c r="E41" s="6"/>
      <c r="F41" s="6"/>
      <c r="G41" s="6" t="s">
        <v>127</v>
      </c>
      <c r="H41" s="22">
        <v>8259</v>
      </c>
      <c r="I41" s="6" t="s">
        <v>62</v>
      </c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</row>
    <row r="42" spans="1:31" ht="14.25" customHeight="1">
      <c r="A42" s="6"/>
      <c r="B42" s="6"/>
      <c r="C42" s="6"/>
      <c r="D42" s="6"/>
      <c r="E42" s="6"/>
      <c r="F42" s="6"/>
      <c r="G42" s="6" t="s">
        <v>128</v>
      </c>
      <c r="H42" s="22">
        <v>7434</v>
      </c>
      <c r="I42" s="6" t="s">
        <v>69</v>
      </c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</row>
    <row r="43" spans="1:31" ht="14.25" customHeight="1">
      <c r="A43" s="6"/>
      <c r="B43" s="6"/>
      <c r="C43" s="6"/>
      <c r="D43" s="6"/>
      <c r="E43" s="6"/>
      <c r="F43" s="6"/>
      <c r="G43" s="6" t="s">
        <v>129</v>
      </c>
      <c r="H43" s="22">
        <v>13300</v>
      </c>
      <c r="I43" s="6" t="s">
        <v>69</v>
      </c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</row>
    <row r="44" spans="1:31" ht="14.25" customHeight="1">
      <c r="A44" s="6"/>
      <c r="B44" s="6"/>
      <c r="C44" s="6"/>
      <c r="D44" s="6"/>
      <c r="E44" s="6"/>
      <c r="F44" s="6"/>
      <c r="G44" s="6" t="s">
        <v>130</v>
      </c>
      <c r="H44" s="22">
        <v>14227</v>
      </c>
      <c r="I44" s="6" t="s">
        <v>62</v>
      </c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</row>
    <row r="45" spans="1:31" ht="14.25" customHeight="1">
      <c r="A45" s="6"/>
      <c r="B45" s="6"/>
      <c r="C45" s="6"/>
      <c r="D45" s="6"/>
      <c r="E45" s="6"/>
      <c r="F45" s="6"/>
      <c r="G45" s="6" t="s">
        <v>131</v>
      </c>
      <c r="H45" s="22">
        <v>14153</v>
      </c>
      <c r="I45" s="6" t="s">
        <v>69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</row>
    <row r="46" spans="1:31" ht="14.25" customHeight="1">
      <c r="A46" s="6"/>
      <c r="B46" s="6"/>
      <c r="C46" s="6"/>
      <c r="D46" s="6"/>
      <c r="E46" s="6"/>
      <c r="F46" s="6"/>
      <c r="G46" s="6" t="s">
        <v>132</v>
      </c>
      <c r="H46" s="22">
        <v>10784</v>
      </c>
      <c r="I46" s="6" t="s">
        <v>59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</row>
    <row r="47" spans="1:31" ht="14.25" customHeight="1">
      <c r="A47" s="6"/>
      <c r="B47" s="6"/>
      <c r="C47" s="6"/>
      <c r="D47" s="6"/>
      <c r="E47" s="6"/>
      <c r="F47" s="6"/>
      <c r="G47" s="6" t="s">
        <v>133</v>
      </c>
      <c r="H47" s="22">
        <v>5118</v>
      </c>
      <c r="I47" s="6" t="s">
        <v>59</v>
      </c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</row>
    <row r="48" spans="1:31" ht="14.25" customHeight="1">
      <c r="A48" s="6"/>
      <c r="B48" s="6"/>
      <c r="C48" s="6"/>
      <c r="D48" s="6"/>
      <c r="E48" s="6"/>
      <c r="F48" s="6"/>
      <c r="G48" s="6" t="s">
        <v>134</v>
      </c>
      <c r="H48" s="22">
        <v>11432</v>
      </c>
      <c r="I48" s="6" t="s">
        <v>66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</row>
    <row r="49" spans="1:31" ht="14.25" customHeight="1">
      <c r="A49" s="6"/>
      <c r="B49" s="6"/>
      <c r="C49" s="6"/>
      <c r="D49" s="6"/>
      <c r="E49" s="6"/>
      <c r="F49" s="6"/>
      <c r="G49" s="6" t="s">
        <v>135</v>
      </c>
      <c r="H49" s="22">
        <v>19832</v>
      </c>
      <c r="I49" s="6" t="s">
        <v>69</v>
      </c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</row>
    <row r="50" spans="1:31" ht="14.25" customHeight="1">
      <c r="A50" s="6"/>
      <c r="B50" s="6"/>
      <c r="C50" s="6"/>
      <c r="D50" s="6"/>
      <c r="E50" s="6"/>
      <c r="F50" s="6"/>
      <c r="G50" s="6" t="s">
        <v>136</v>
      </c>
      <c r="H50" s="22">
        <v>5766</v>
      </c>
      <c r="I50" s="6" t="s">
        <v>69</v>
      </c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</row>
    <row r="51" spans="1:31" ht="14.25" customHeight="1">
      <c r="A51" s="6"/>
      <c r="B51" s="6"/>
      <c r="C51" s="6"/>
      <c r="D51" s="6"/>
      <c r="E51" s="6"/>
      <c r="F51" s="6"/>
      <c r="G51" s="6" t="s">
        <v>137</v>
      </c>
      <c r="H51" s="22">
        <v>9333</v>
      </c>
      <c r="I51" s="6" t="s">
        <v>69</v>
      </c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</row>
    <row r="52" spans="1:31" ht="14.25" customHeight="1">
      <c r="A52" s="6"/>
      <c r="B52" s="6"/>
      <c r="C52" s="6"/>
      <c r="D52" s="6"/>
      <c r="E52" s="6"/>
      <c r="F52" s="6"/>
      <c r="G52" s="6" t="s">
        <v>138</v>
      </c>
      <c r="H52" s="22">
        <v>1750</v>
      </c>
      <c r="I52" s="6" t="s">
        <v>59</v>
      </c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spans="1:31" ht="14.25" customHeight="1">
      <c r="A53" s="6"/>
      <c r="B53" s="6"/>
      <c r="C53" s="6"/>
      <c r="D53" s="6"/>
      <c r="E53" s="6"/>
      <c r="F53" s="6"/>
      <c r="G53" s="6" t="s">
        <v>139</v>
      </c>
      <c r="H53" s="22">
        <v>6794</v>
      </c>
      <c r="I53" s="6" t="s">
        <v>69</v>
      </c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</row>
    <row r="54" spans="1:31" ht="14.25" customHeight="1">
      <c r="A54" s="6"/>
      <c r="B54" s="6"/>
      <c r="C54" s="6"/>
      <c r="D54" s="6"/>
      <c r="E54" s="6"/>
      <c r="F54" s="6"/>
      <c r="G54" s="6" t="s">
        <v>140</v>
      </c>
      <c r="H54" s="22">
        <v>10776</v>
      </c>
      <c r="I54" s="6" t="s">
        <v>62</v>
      </c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</row>
    <row r="55" spans="1:31" ht="14.25" customHeight="1">
      <c r="A55" s="6"/>
      <c r="B55" s="6"/>
      <c r="C55" s="6"/>
      <c r="D55" s="6"/>
      <c r="E55" s="6"/>
      <c r="F55" s="6"/>
      <c r="G55" s="6" t="s">
        <v>141</v>
      </c>
      <c r="H55" s="22">
        <v>4932</v>
      </c>
      <c r="I55" s="6" t="s">
        <v>77</v>
      </c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</row>
    <row r="56" spans="1:31" ht="14.25" customHeight="1">
      <c r="A56" s="6"/>
      <c r="B56" s="6"/>
      <c r="C56" s="6"/>
      <c r="D56" s="6"/>
      <c r="E56" s="6"/>
      <c r="F56" s="6"/>
      <c r="G56" s="6" t="s">
        <v>142</v>
      </c>
      <c r="H56" s="22">
        <v>1891</v>
      </c>
      <c r="I56" s="6" t="s">
        <v>77</v>
      </c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</row>
    <row r="57" spans="1:31" ht="14.25" customHeight="1">
      <c r="A57" s="6"/>
      <c r="B57" s="6"/>
      <c r="C57" s="6"/>
      <c r="D57" s="6"/>
      <c r="E57" s="6"/>
      <c r="F57" s="6"/>
      <c r="G57" s="6" t="s">
        <v>143</v>
      </c>
      <c r="H57" s="22">
        <v>17290</v>
      </c>
      <c r="I57" s="6" t="s">
        <v>59</v>
      </c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</row>
    <row r="58" spans="1:31" ht="14.25" customHeight="1">
      <c r="A58" s="6"/>
      <c r="B58" s="6"/>
      <c r="C58" s="6"/>
      <c r="D58" s="6"/>
      <c r="E58" s="6"/>
      <c r="F58" s="6"/>
      <c r="G58" s="6" t="s">
        <v>144</v>
      </c>
      <c r="H58" s="22">
        <v>8117</v>
      </c>
      <c r="I58" s="6" t="s">
        <v>69</v>
      </c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</row>
    <row r="59" spans="1:31" ht="14.25" customHeight="1">
      <c r="A59" s="6"/>
      <c r="B59" s="6"/>
      <c r="C59" s="6"/>
      <c r="D59" s="6"/>
      <c r="E59" s="6"/>
      <c r="F59" s="6"/>
      <c r="G59" s="6" t="s">
        <v>145</v>
      </c>
      <c r="H59" s="22">
        <v>17021</v>
      </c>
      <c r="I59" s="6" t="s">
        <v>62</v>
      </c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</row>
    <row r="60" spans="1:31" ht="14.25" customHeight="1">
      <c r="A60" s="6"/>
      <c r="B60" s="6"/>
      <c r="C60" s="6"/>
      <c r="D60" s="6"/>
      <c r="E60" s="6"/>
      <c r="F60" s="6"/>
      <c r="G60" s="6" t="s">
        <v>146</v>
      </c>
      <c r="H60" s="22">
        <v>16345</v>
      </c>
      <c r="I60" s="6" t="s">
        <v>59</v>
      </c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</row>
    <row r="61" spans="1:31" ht="14.25" customHeight="1">
      <c r="A61" s="6"/>
      <c r="B61" s="6"/>
      <c r="C61" s="6"/>
      <c r="D61" s="6"/>
      <c r="E61" s="6"/>
      <c r="F61" s="6"/>
      <c r="G61" s="6" t="s">
        <v>147</v>
      </c>
      <c r="H61" s="22">
        <v>1980</v>
      </c>
      <c r="I61" s="6" t="s">
        <v>69</v>
      </c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</row>
    <row r="62" spans="1:31" ht="14.25" customHeight="1">
      <c r="A62" s="6"/>
      <c r="B62" s="6"/>
      <c r="C62" s="6"/>
      <c r="D62" s="6"/>
      <c r="E62" s="6"/>
      <c r="F62" s="6"/>
      <c r="G62" s="6" t="s">
        <v>148</v>
      </c>
      <c r="H62" s="22">
        <v>15205</v>
      </c>
      <c r="I62" s="6" t="s">
        <v>77</v>
      </c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</row>
    <row r="63" spans="1:31" ht="14.25" customHeight="1">
      <c r="A63" s="6"/>
      <c r="B63" s="6"/>
      <c r="C63" s="6"/>
      <c r="D63" s="6"/>
      <c r="E63" s="6"/>
      <c r="F63" s="6"/>
      <c r="G63" s="6" t="s">
        <v>149</v>
      </c>
      <c r="H63" s="22">
        <v>12095</v>
      </c>
      <c r="I63" s="6" t="s">
        <v>80</v>
      </c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</row>
    <row r="64" spans="1:31" ht="14.25" customHeight="1">
      <c r="A64" s="6"/>
      <c r="B64" s="6"/>
      <c r="C64" s="6"/>
      <c r="D64" s="6"/>
      <c r="E64" s="6"/>
      <c r="F64" s="6"/>
      <c r="G64" s="6" t="s">
        <v>150</v>
      </c>
      <c r="H64" s="22">
        <v>17247</v>
      </c>
      <c r="I64" s="6" t="s">
        <v>77</v>
      </c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</row>
    <row r="65" spans="1:31" ht="14.25" customHeight="1">
      <c r="A65" s="6"/>
      <c r="B65" s="6"/>
      <c r="C65" s="6"/>
      <c r="D65" s="6"/>
      <c r="E65" s="6"/>
      <c r="F65" s="6"/>
      <c r="G65" s="6" t="s">
        <v>151</v>
      </c>
      <c r="H65" s="22">
        <v>15137</v>
      </c>
      <c r="I65" s="6" t="s">
        <v>59</v>
      </c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</row>
    <row r="66" spans="1:31" ht="14.25" customHeight="1">
      <c r="A66" s="6"/>
      <c r="B66" s="6"/>
      <c r="C66" s="6"/>
      <c r="D66" s="6"/>
      <c r="E66" s="6"/>
      <c r="F66" s="6"/>
      <c r="G66" s="6" t="s">
        <v>152</v>
      </c>
      <c r="H66" s="22">
        <v>12910</v>
      </c>
      <c r="I66" s="6" t="s">
        <v>69</v>
      </c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</row>
    <row r="67" spans="1:31" ht="14.25" customHeight="1">
      <c r="A67" s="6"/>
      <c r="B67" s="6"/>
      <c r="C67" s="6"/>
      <c r="D67" s="6"/>
      <c r="E67" s="6"/>
      <c r="F67" s="6"/>
      <c r="G67" s="6" t="s">
        <v>153</v>
      </c>
      <c r="H67" s="22">
        <v>8767</v>
      </c>
      <c r="I67" s="6" t="s">
        <v>59</v>
      </c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</row>
    <row r="68" spans="1:31" ht="14.25" customHeight="1">
      <c r="A68" s="6"/>
      <c r="B68" s="6"/>
      <c r="C68" s="6"/>
      <c r="D68" s="6"/>
      <c r="E68" s="6"/>
      <c r="F68" s="6"/>
      <c r="G68" s="6" t="s">
        <v>154</v>
      </c>
      <c r="H68" s="22">
        <v>8549</v>
      </c>
      <c r="I68" s="6" t="s">
        <v>66</v>
      </c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</row>
    <row r="69" spans="1:31" ht="14.25" customHeight="1">
      <c r="A69" s="6"/>
      <c r="B69" s="6"/>
      <c r="C69" s="6"/>
      <c r="D69" s="6"/>
      <c r="E69" s="6"/>
      <c r="F69" s="6"/>
      <c r="G69" s="6" t="s">
        <v>155</v>
      </c>
      <c r="H69" s="22">
        <v>11761</v>
      </c>
      <c r="I69" s="6" t="s">
        <v>62</v>
      </c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</row>
    <row r="70" spans="1:31" ht="14.25" customHeight="1">
      <c r="A70" s="6"/>
      <c r="B70" s="6"/>
      <c r="C70" s="6"/>
      <c r="D70" s="6"/>
      <c r="E70" s="6"/>
      <c r="F70" s="6"/>
      <c r="G70" s="6" t="s">
        <v>156</v>
      </c>
      <c r="H70" s="22">
        <v>8271</v>
      </c>
      <c r="I70" s="6" t="s">
        <v>59</v>
      </c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</row>
    <row r="71" spans="1:31" ht="14.25" customHeight="1">
      <c r="A71" s="6"/>
      <c r="B71" s="6"/>
      <c r="C71" s="6"/>
      <c r="D71" s="6"/>
      <c r="E71" s="6"/>
      <c r="F71" s="6"/>
      <c r="G71" s="6" t="s">
        <v>157</v>
      </c>
      <c r="H71" s="22">
        <v>7656</v>
      </c>
      <c r="I71" s="6" t="s">
        <v>69</v>
      </c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</row>
    <row r="72" spans="1:31" ht="14.25" customHeight="1">
      <c r="A72" s="6"/>
      <c r="B72" s="6"/>
      <c r="C72" s="6"/>
      <c r="D72" s="6"/>
      <c r="E72" s="6"/>
      <c r="F72" s="6"/>
      <c r="G72" s="6" t="s">
        <v>158</v>
      </c>
      <c r="H72" s="22">
        <v>5435</v>
      </c>
      <c r="I72" s="6" t="s">
        <v>59</v>
      </c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</row>
    <row r="73" spans="1:31" ht="14.25" customHeight="1">
      <c r="A73" s="6"/>
      <c r="B73" s="6"/>
      <c r="C73" s="6"/>
      <c r="D73" s="6"/>
      <c r="E73" s="6"/>
      <c r="F73" s="6"/>
      <c r="G73" s="6" t="s">
        <v>159</v>
      </c>
      <c r="H73" s="22">
        <v>5579</v>
      </c>
      <c r="I73" s="6" t="s">
        <v>69</v>
      </c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</row>
    <row r="74" spans="1:31" ht="14.25" customHeight="1">
      <c r="A74" s="6"/>
      <c r="B74" s="6"/>
      <c r="C74" s="6"/>
      <c r="D74" s="6"/>
      <c r="E74" s="6"/>
      <c r="F74" s="6"/>
      <c r="G74" s="6" t="s">
        <v>160</v>
      </c>
      <c r="H74" s="22">
        <v>14000</v>
      </c>
      <c r="I74" s="6" t="s">
        <v>77</v>
      </c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</row>
    <row r="75" spans="1:31" ht="14.25" customHeight="1">
      <c r="A75" s="6"/>
      <c r="B75" s="6"/>
      <c r="C75" s="6"/>
      <c r="D75" s="6"/>
      <c r="E75" s="6"/>
      <c r="F75" s="6"/>
      <c r="G75" s="6" t="s">
        <v>161</v>
      </c>
      <c r="H75" s="22">
        <v>3501</v>
      </c>
      <c r="I75" s="6" t="s">
        <v>66</v>
      </c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</row>
    <row r="76" spans="1:31" ht="14.25" customHeight="1">
      <c r="A76" s="6"/>
      <c r="B76" s="6"/>
      <c r="C76" s="6"/>
      <c r="D76" s="6"/>
      <c r="E76" s="6"/>
      <c r="F76" s="6"/>
      <c r="G76" s="6" t="s">
        <v>162</v>
      </c>
      <c r="H76" s="22">
        <v>19360</v>
      </c>
      <c r="I76" s="6" t="s">
        <v>69</v>
      </c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</row>
    <row r="77" spans="1:31" ht="14.25" customHeight="1">
      <c r="A77" s="6"/>
      <c r="B77" s="6"/>
      <c r="C77" s="6"/>
      <c r="D77" s="6"/>
      <c r="E77" s="6"/>
      <c r="F77" s="6"/>
      <c r="G77" s="6" t="s">
        <v>163</v>
      </c>
      <c r="H77" s="22">
        <v>19899</v>
      </c>
      <c r="I77" s="6" t="s">
        <v>77</v>
      </c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</row>
    <row r="78" spans="1:31" ht="14.25" customHeight="1">
      <c r="A78" s="6"/>
      <c r="B78" s="6"/>
      <c r="C78" s="6"/>
      <c r="D78" s="6"/>
      <c r="E78" s="6"/>
      <c r="F78" s="6"/>
      <c r="G78" s="6" t="s">
        <v>164</v>
      </c>
      <c r="H78" s="22">
        <v>710</v>
      </c>
      <c r="I78" s="6" t="s">
        <v>62</v>
      </c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</row>
    <row r="79" spans="1:31" ht="14.25" customHeight="1">
      <c r="A79" s="6"/>
      <c r="B79" s="6"/>
      <c r="C79" s="6"/>
      <c r="D79" s="6"/>
      <c r="E79" s="6"/>
      <c r="F79" s="6"/>
      <c r="G79" s="6" t="s">
        <v>165</v>
      </c>
      <c r="H79" s="22">
        <v>19645</v>
      </c>
      <c r="I79" s="6" t="s">
        <v>59</v>
      </c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</row>
    <row r="80" spans="1:31" ht="14.25" customHeight="1">
      <c r="A80" s="6"/>
      <c r="B80" s="6"/>
      <c r="C80" s="6"/>
      <c r="D80" s="6"/>
      <c r="E80" s="6"/>
      <c r="F80" s="6"/>
      <c r="G80" s="6" t="s">
        <v>166</v>
      </c>
      <c r="H80" s="22">
        <v>15361</v>
      </c>
      <c r="I80" s="6" t="s">
        <v>66</v>
      </c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</row>
    <row r="81" spans="1:31" ht="14.25" customHeight="1">
      <c r="A81" s="6"/>
      <c r="B81" s="6"/>
      <c r="C81" s="6"/>
      <c r="D81" s="6"/>
      <c r="E81" s="6"/>
      <c r="F81" s="6"/>
      <c r="G81" s="6" t="s">
        <v>167</v>
      </c>
      <c r="H81" s="22">
        <v>751</v>
      </c>
      <c r="I81" s="6" t="s">
        <v>62</v>
      </c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</row>
    <row r="82" spans="1:31" ht="14.25" customHeight="1">
      <c r="A82" s="6"/>
      <c r="B82" s="6"/>
      <c r="C82" s="6"/>
      <c r="D82" s="6"/>
      <c r="E82" s="6"/>
      <c r="F82" s="6"/>
      <c r="G82" s="6" t="s">
        <v>168</v>
      </c>
      <c r="H82" s="22">
        <v>5342</v>
      </c>
      <c r="I82" s="6" t="s">
        <v>66</v>
      </c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</row>
    <row r="83" spans="1:31" ht="14.25" customHeight="1">
      <c r="A83" s="6"/>
      <c r="B83" s="6"/>
      <c r="C83" s="6"/>
      <c r="D83" s="6"/>
      <c r="E83" s="6"/>
      <c r="F83" s="6"/>
      <c r="G83" s="6" t="s">
        <v>169</v>
      </c>
      <c r="H83" s="22">
        <v>4664</v>
      </c>
      <c r="I83" s="6" t="s">
        <v>66</v>
      </c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</row>
    <row r="84" spans="1:31" ht="14.25" customHeight="1">
      <c r="A84" s="6"/>
      <c r="B84" s="6"/>
      <c r="C84" s="6"/>
      <c r="D84" s="6"/>
      <c r="E84" s="6"/>
      <c r="F84" s="6"/>
      <c r="G84" s="6" t="s">
        <v>170</v>
      </c>
      <c r="H84" s="22">
        <v>1444</v>
      </c>
      <c r="I84" s="6" t="s">
        <v>62</v>
      </c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</row>
    <row r="85" spans="1:31" ht="14.25" customHeight="1">
      <c r="A85" s="6"/>
      <c r="B85" s="6"/>
      <c r="C85" s="6"/>
      <c r="D85" s="6"/>
      <c r="E85" s="6"/>
      <c r="F85" s="6"/>
      <c r="G85" s="6" t="s">
        <v>171</v>
      </c>
      <c r="H85" s="22">
        <v>18461</v>
      </c>
      <c r="I85" s="6" t="s">
        <v>59</v>
      </c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</row>
    <row r="86" spans="1:31" ht="14.25" customHeight="1">
      <c r="A86" s="6"/>
      <c r="B86" s="6"/>
      <c r="C86" s="6"/>
      <c r="D86" s="6"/>
      <c r="E86" s="6"/>
      <c r="F86" s="6"/>
      <c r="G86" s="6" t="s">
        <v>172</v>
      </c>
      <c r="H86" s="22">
        <v>6752</v>
      </c>
      <c r="I86" s="6" t="s">
        <v>66</v>
      </c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</row>
    <row r="87" spans="1:31" ht="14.25" customHeight="1">
      <c r="A87" s="6"/>
      <c r="B87" s="6"/>
      <c r="C87" s="6"/>
      <c r="D87" s="6"/>
      <c r="E87" s="6"/>
      <c r="F87" s="6"/>
      <c r="G87" s="6" t="s">
        <v>173</v>
      </c>
      <c r="H87" s="22">
        <v>5790</v>
      </c>
      <c r="I87" s="6" t="s">
        <v>69</v>
      </c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</row>
    <row r="88" spans="1:31" ht="14.25" customHeight="1">
      <c r="A88" s="6"/>
      <c r="B88" s="6"/>
      <c r="C88" s="6"/>
      <c r="D88" s="6"/>
      <c r="E88" s="6"/>
      <c r="F88" s="6"/>
      <c r="G88" s="6" t="s">
        <v>174</v>
      </c>
      <c r="H88" s="22">
        <v>3568</v>
      </c>
      <c r="I88" s="6" t="s">
        <v>77</v>
      </c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</row>
    <row r="89" spans="1:31" ht="14.25" customHeight="1">
      <c r="A89" s="6"/>
      <c r="B89" s="6"/>
      <c r="C89" s="6"/>
      <c r="D89" s="6"/>
      <c r="E89" s="6"/>
      <c r="F89" s="6"/>
      <c r="G89" s="6" t="s">
        <v>175</v>
      </c>
      <c r="H89" s="22">
        <v>2121</v>
      </c>
      <c r="I89" s="6" t="s">
        <v>80</v>
      </c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</row>
    <row r="90" spans="1:31" ht="14.25" customHeight="1">
      <c r="A90" s="6"/>
      <c r="B90" s="6"/>
      <c r="C90" s="6"/>
      <c r="D90" s="6"/>
      <c r="E90" s="6"/>
      <c r="F90" s="6"/>
      <c r="G90" s="6" t="s">
        <v>176</v>
      </c>
      <c r="H90" s="22">
        <v>16380</v>
      </c>
      <c r="I90" s="6" t="s">
        <v>80</v>
      </c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</row>
    <row r="91" spans="1:31" ht="14.25" customHeight="1">
      <c r="A91" s="6"/>
      <c r="B91" s="6"/>
      <c r="C91" s="6"/>
      <c r="D91" s="6"/>
      <c r="E91" s="6"/>
      <c r="F91" s="6"/>
      <c r="G91" s="6" t="s">
        <v>177</v>
      </c>
      <c r="H91" s="22">
        <v>9707</v>
      </c>
      <c r="I91" s="6" t="s">
        <v>66</v>
      </c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</row>
    <row r="92" spans="1:31" ht="14.25" customHeight="1">
      <c r="A92" s="6"/>
      <c r="B92" s="6"/>
      <c r="C92" s="6"/>
      <c r="D92" s="6"/>
      <c r="E92" s="6"/>
      <c r="F92" s="6"/>
      <c r="G92" s="6" t="s">
        <v>178</v>
      </c>
      <c r="H92" s="22">
        <v>9900</v>
      </c>
      <c r="I92" s="6" t="s">
        <v>77</v>
      </c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</row>
    <row r="93" spans="1:31" ht="14.25" customHeight="1">
      <c r="A93" s="6"/>
      <c r="B93" s="6"/>
      <c r="C93" s="6"/>
      <c r="D93" s="6"/>
      <c r="E93" s="6"/>
      <c r="F93" s="6"/>
      <c r="G93" s="6" t="s">
        <v>179</v>
      </c>
      <c r="H93" s="22">
        <v>2204</v>
      </c>
      <c r="I93" s="6" t="s">
        <v>59</v>
      </c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</row>
    <row r="94" spans="1:31" ht="14.25" customHeight="1">
      <c r="A94" s="6"/>
      <c r="B94" s="6"/>
      <c r="C94" s="6"/>
      <c r="D94" s="6"/>
      <c r="E94" s="6"/>
      <c r="F94" s="6"/>
      <c r="G94" s="6" t="s">
        <v>180</v>
      </c>
      <c r="H94" s="22">
        <v>3111</v>
      </c>
      <c r="I94" s="6" t="s">
        <v>66</v>
      </c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</row>
    <row r="95" spans="1:31" ht="14.25" customHeight="1">
      <c r="A95" s="6"/>
      <c r="B95" s="6"/>
      <c r="C95" s="6"/>
      <c r="D95" s="6"/>
      <c r="E95" s="6"/>
      <c r="F95" s="6"/>
      <c r="G95" s="6" t="s">
        <v>181</v>
      </c>
      <c r="H95" s="22">
        <v>1973</v>
      </c>
      <c r="I95" s="6" t="s">
        <v>59</v>
      </c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</row>
    <row r="96" spans="1:31" ht="14.25" customHeight="1">
      <c r="A96" s="6"/>
      <c r="B96" s="6"/>
      <c r="C96" s="6"/>
      <c r="D96" s="6"/>
      <c r="E96" s="6"/>
      <c r="F96" s="6"/>
      <c r="G96" s="6" t="s">
        <v>182</v>
      </c>
      <c r="H96" s="22">
        <v>7989</v>
      </c>
      <c r="I96" s="6" t="s">
        <v>59</v>
      </c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</row>
    <row r="97" spans="1:31" ht="14.25" customHeight="1">
      <c r="A97" s="6"/>
      <c r="B97" s="6"/>
      <c r="C97" s="6"/>
      <c r="D97" s="6"/>
      <c r="E97" s="6"/>
      <c r="F97" s="6"/>
      <c r="G97" s="6" t="s">
        <v>183</v>
      </c>
      <c r="H97" s="22">
        <v>13271</v>
      </c>
      <c r="I97" s="6" t="s">
        <v>62</v>
      </c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</row>
    <row r="98" spans="1:31" ht="14.25" customHeight="1">
      <c r="A98" s="6"/>
      <c r="B98" s="6"/>
      <c r="C98" s="6"/>
      <c r="D98" s="6"/>
      <c r="E98" s="6"/>
      <c r="F98" s="6"/>
      <c r="G98" s="6" t="s">
        <v>184</v>
      </c>
      <c r="H98" s="22">
        <v>9558</v>
      </c>
      <c r="I98" s="6" t="s">
        <v>77</v>
      </c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</row>
    <row r="99" spans="1:31" ht="14.25" customHeight="1">
      <c r="A99" s="6"/>
      <c r="B99" s="6"/>
      <c r="C99" s="6"/>
      <c r="D99" s="6"/>
      <c r="E99" s="6"/>
      <c r="F99" s="6"/>
      <c r="G99" s="6" t="s">
        <v>185</v>
      </c>
      <c r="H99" s="22">
        <v>6868</v>
      </c>
      <c r="I99" s="6" t="s">
        <v>80</v>
      </c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</row>
    <row r="100" spans="1:31" ht="14.25" customHeight="1">
      <c r="A100" s="6"/>
      <c r="B100" s="6"/>
      <c r="C100" s="6"/>
      <c r="D100" s="6"/>
      <c r="E100" s="6"/>
      <c r="F100" s="6"/>
      <c r="G100" s="6" t="s">
        <v>186</v>
      </c>
      <c r="H100" s="22">
        <v>17252</v>
      </c>
      <c r="I100" s="6" t="s">
        <v>69</v>
      </c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</row>
    <row r="101" spans="1:31" ht="14.25" customHeight="1">
      <c r="A101" s="6"/>
      <c r="B101" s="6"/>
      <c r="C101" s="6"/>
      <c r="D101" s="6"/>
      <c r="E101" s="6"/>
      <c r="F101" s="6"/>
      <c r="G101" s="6" t="s">
        <v>187</v>
      </c>
      <c r="H101" s="22">
        <v>18362</v>
      </c>
      <c r="I101" s="6" t="s">
        <v>80</v>
      </c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</row>
    <row r="102" spans="1:31" ht="14.25" customHeight="1">
      <c r="A102" s="6"/>
      <c r="B102" s="6"/>
      <c r="C102" s="6"/>
      <c r="D102" s="6"/>
      <c r="E102" s="6"/>
      <c r="F102" s="6"/>
      <c r="G102" s="6" t="s">
        <v>188</v>
      </c>
      <c r="H102" s="22">
        <v>18623</v>
      </c>
      <c r="I102" s="6" t="s">
        <v>77</v>
      </c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</row>
    <row r="103" spans="1:31" ht="14.25" customHeight="1">
      <c r="A103" s="6"/>
      <c r="B103" s="6"/>
      <c r="C103" s="6"/>
      <c r="D103" s="6"/>
      <c r="E103" s="6"/>
      <c r="F103" s="6"/>
      <c r="G103" s="6" t="s">
        <v>189</v>
      </c>
      <c r="H103" s="22">
        <v>10629</v>
      </c>
      <c r="I103" s="6" t="s">
        <v>66</v>
      </c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</row>
    <row r="104" spans="1:31" ht="14.25" customHeight="1">
      <c r="A104" s="6"/>
      <c r="B104" s="6"/>
      <c r="C104" s="6"/>
      <c r="D104" s="6"/>
      <c r="E104" s="6"/>
      <c r="F104" s="6"/>
      <c r="G104" s="6" t="s">
        <v>190</v>
      </c>
      <c r="H104" s="22">
        <v>5069</v>
      </c>
      <c r="I104" s="6" t="s">
        <v>62</v>
      </c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</row>
    <row r="105" spans="1:31" ht="14.25" customHeight="1">
      <c r="A105" s="6"/>
      <c r="B105" s="6"/>
      <c r="C105" s="6"/>
      <c r="D105" s="6"/>
      <c r="E105" s="6"/>
      <c r="F105" s="6"/>
      <c r="G105" s="6" t="s">
        <v>191</v>
      </c>
      <c r="H105" s="22">
        <v>6558</v>
      </c>
      <c r="I105" s="6" t="s">
        <v>69</v>
      </c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</row>
    <row r="106" spans="1:31" ht="14.25" customHeight="1">
      <c r="A106" s="6"/>
      <c r="B106" s="6"/>
      <c r="C106" s="6"/>
      <c r="D106" s="6"/>
      <c r="E106" s="6"/>
      <c r="F106" s="6"/>
      <c r="G106" s="6" t="s">
        <v>192</v>
      </c>
      <c r="H106" s="22">
        <v>18328</v>
      </c>
      <c r="I106" s="6" t="s">
        <v>66</v>
      </c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</row>
    <row r="107" spans="1:31" ht="14.25" customHeight="1">
      <c r="A107" s="6"/>
      <c r="B107" s="6"/>
      <c r="C107" s="6"/>
      <c r="D107" s="6"/>
      <c r="E107" s="6"/>
      <c r="F107" s="6"/>
      <c r="G107" s="6" t="s">
        <v>193</v>
      </c>
      <c r="H107" s="22">
        <v>12304</v>
      </c>
      <c r="I107" s="6" t="s">
        <v>62</v>
      </c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</row>
    <row r="108" spans="1:31" ht="14.25" customHeight="1">
      <c r="A108" s="6"/>
      <c r="B108" s="6"/>
      <c r="C108" s="6"/>
      <c r="D108" s="6"/>
      <c r="E108" s="6"/>
      <c r="F108" s="6"/>
      <c r="G108" s="6" t="s">
        <v>194</v>
      </c>
      <c r="H108" s="22">
        <v>14803</v>
      </c>
      <c r="I108" s="6" t="s">
        <v>77</v>
      </c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</row>
    <row r="109" spans="1:31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</row>
    <row r="110" spans="1:31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</row>
    <row r="111" spans="1:3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</row>
    <row r="112" spans="1:31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</row>
    <row r="113" spans="1:31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</row>
    <row r="114" spans="1:31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</row>
    <row r="115" spans="1:31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</row>
    <row r="116" spans="1:31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</row>
    <row r="117" spans="1:31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</row>
    <row r="118" spans="1:31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</row>
    <row r="119" spans="1:31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</row>
    <row r="120" spans="1:31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</row>
    <row r="121" spans="1:3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</row>
    <row r="122" spans="1:31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</row>
    <row r="123" spans="1:31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</row>
    <row r="124" spans="1:31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</row>
    <row r="125" spans="1:31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</row>
    <row r="126" spans="1:31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</row>
    <row r="127" spans="1:31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</row>
    <row r="128" spans="1:31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</row>
    <row r="129" spans="1:31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</row>
    <row r="130" spans="1:31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</row>
    <row r="131" spans="1: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</row>
    <row r="132" spans="1:31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</row>
    <row r="133" spans="1:31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</row>
    <row r="134" spans="1:31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</row>
    <row r="135" spans="1:31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</row>
    <row r="136" spans="1:31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</row>
    <row r="137" spans="1:31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</row>
    <row r="138" spans="1:31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</row>
    <row r="139" spans="1:31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</row>
    <row r="140" spans="1:31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</row>
    <row r="141" spans="1:3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</row>
    <row r="142" spans="1:31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</row>
    <row r="143" spans="1:31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</row>
    <row r="144" spans="1:31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</row>
    <row r="145" spans="1:31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</row>
    <row r="146" spans="1:31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</row>
    <row r="147" spans="1:31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</row>
    <row r="148" spans="1:31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</row>
    <row r="149" spans="1:31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</row>
    <row r="150" spans="1:31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</row>
    <row r="151" spans="1:3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</row>
    <row r="152" spans="1:31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</row>
    <row r="153" spans="1:31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</row>
    <row r="154" spans="1:31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</row>
    <row r="155" spans="1:31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</row>
    <row r="156" spans="1:31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</row>
    <row r="157" spans="1:31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</row>
    <row r="158" spans="1:31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</row>
    <row r="159" spans="1:31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</row>
    <row r="160" spans="1:31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</row>
    <row r="161" spans="1:3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</row>
    <row r="162" spans="1:31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</row>
    <row r="163" spans="1:31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</row>
    <row r="164" spans="1:31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</row>
    <row r="165" spans="1:31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</row>
    <row r="166" spans="1:31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</row>
    <row r="167" spans="1:31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</row>
    <row r="168" spans="1:31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</row>
    <row r="169" spans="1:31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</row>
    <row r="170" spans="1:31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</row>
    <row r="171" spans="1:3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</row>
    <row r="172" spans="1:31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</row>
    <row r="173" spans="1:31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</row>
    <row r="174" spans="1:31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</row>
    <row r="175" spans="1:31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</row>
    <row r="176" spans="1:31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</row>
    <row r="177" spans="1:31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</row>
    <row r="178" spans="1:31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</row>
    <row r="179" spans="1:31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</row>
    <row r="180" spans="1:31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</row>
    <row r="181" spans="1:3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</row>
    <row r="182" spans="1:31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</row>
    <row r="183" spans="1:31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</row>
    <row r="184" spans="1:31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</row>
    <row r="185" spans="1:31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</row>
    <row r="186" spans="1:31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</row>
    <row r="187" spans="1:31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</row>
    <row r="188" spans="1:31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</row>
    <row r="189" spans="1:31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</row>
    <row r="190" spans="1:31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</row>
    <row r="191" spans="1:3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</row>
    <row r="192" spans="1:31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</row>
    <row r="193" spans="1:31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</row>
    <row r="194" spans="1:31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</row>
    <row r="195" spans="1:31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</row>
    <row r="196" spans="1:31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</row>
    <row r="197" spans="1:31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</row>
    <row r="198" spans="1:31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</row>
    <row r="199" spans="1:31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</row>
    <row r="200" spans="1:31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</row>
    <row r="201" spans="1:3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</row>
    <row r="202" spans="1:31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</row>
    <row r="203" spans="1:31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</row>
    <row r="204" spans="1:31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</row>
    <row r="205" spans="1:31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</row>
    <row r="206" spans="1:31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</row>
    <row r="207" spans="1:31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</row>
    <row r="208" spans="1:31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</row>
    <row r="209" spans="1:31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</row>
    <row r="210" spans="1:31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</row>
    <row r="211" spans="1:3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</row>
    <row r="212" spans="1:31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</row>
    <row r="213" spans="1:31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</row>
    <row r="214" spans="1:31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</row>
    <row r="215" spans="1:31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</row>
    <row r="216" spans="1:31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</row>
    <row r="217" spans="1:31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</row>
    <row r="218" spans="1:31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</row>
    <row r="219" spans="1:31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</row>
    <row r="220" spans="1:31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</row>
    <row r="221" spans="1:3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</row>
    <row r="222" spans="1:31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</row>
    <row r="223" spans="1:31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</row>
    <row r="224" spans="1:31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</row>
    <row r="225" spans="1:31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</row>
    <row r="226" spans="1:31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</row>
    <row r="227" spans="1:31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</row>
    <row r="228" spans="1:31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</row>
    <row r="229" spans="1:31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</row>
    <row r="230" spans="1:31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</row>
    <row r="231" spans="1: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</row>
    <row r="232" spans="1:31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</row>
    <row r="233" spans="1:31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</row>
    <row r="234" spans="1:31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</row>
    <row r="235" spans="1:31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</row>
    <row r="236" spans="1:31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</row>
    <row r="237" spans="1:31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</row>
    <row r="238" spans="1:31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</row>
    <row r="239" spans="1:31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</row>
    <row r="240" spans="1:31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</row>
    <row r="241" spans="1:3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</row>
    <row r="242" spans="1:31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</row>
    <row r="243" spans="1:31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</row>
    <row r="244" spans="1:31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</row>
    <row r="245" spans="1:31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</row>
    <row r="246" spans="1:31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</row>
    <row r="247" spans="1:31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</row>
    <row r="248" spans="1:31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</row>
    <row r="249" spans="1:31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</row>
    <row r="250" spans="1:31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</row>
    <row r="251" spans="1:3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</row>
    <row r="252" spans="1:31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</row>
    <row r="253" spans="1:31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</row>
    <row r="254" spans="1:31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</row>
    <row r="255" spans="1:31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</row>
    <row r="256" spans="1:31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</row>
    <row r="257" spans="1:31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</row>
    <row r="258" spans="1:31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</row>
    <row r="259" spans="1:31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</row>
    <row r="260" spans="1:31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</row>
    <row r="261" spans="1:3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</row>
    <row r="262" spans="1:31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</row>
    <row r="263" spans="1:31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</row>
    <row r="264" spans="1:31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</row>
    <row r="265" spans="1:31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</row>
    <row r="266" spans="1:31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</row>
    <row r="267" spans="1:31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</row>
    <row r="268" spans="1:31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</row>
    <row r="269" spans="1:31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</row>
    <row r="270" spans="1:31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</row>
    <row r="271" spans="1:3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</row>
    <row r="272" spans="1:31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</row>
    <row r="273" spans="1:31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</row>
    <row r="274" spans="1:31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</row>
    <row r="275" spans="1:31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</row>
    <row r="276" spans="1:31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</row>
    <row r="277" spans="1:31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</row>
    <row r="278" spans="1:31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</row>
    <row r="279" spans="1:31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</row>
    <row r="280" spans="1:31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</row>
    <row r="281" spans="1:3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</row>
    <row r="282" spans="1:31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</row>
    <row r="283" spans="1:31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</row>
    <row r="284" spans="1:31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</row>
    <row r="285" spans="1:31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</row>
    <row r="286" spans="1:31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</row>
    <row r="287" spans="1:31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</row>
    <row r="288" spans="1:31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</row>
    <row r="289" spans="1:31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</row>
    <row r="290" spans="1:31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</row>
    <row r="291" spans="1:3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</row>
    <row r="292" spans="1:31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</row>
    <row r="293" spans="1:31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</row>
    <row r="294" spans="1:31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</row>
    <row r="295" spans="1:31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</row>
    <row r="296" spans="1:31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</row>
    <row r="297" spans="1:31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</row>
    <row r="298" spans="1:31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</row>
    <row r="299" spans="1:31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</row>
    <row r="300" spans="1:31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</row>
    <row r="301" spans="1:3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</row>
    <row r="302" spans="1:31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</row>
    <row r="303" spans="1:31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</row>
    <row r="304" spans="1:31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</row>
    <row r="305" spans="1:31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</row>
    <row r="306" spans="1:31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</row>
    <row r="307" spans="1:31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</row>
    <row r="308" spans="1:31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</row>
    <row r="309" spans="1:31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</row>
    <row r="310" spans="1:31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</row>
    <row r="311" spans="1:3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</row>
    <row r="312" spans="1:31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</row>
    <row r="313" spans="1:31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</row>
    <row r="314" spans="1:31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</row>
    <row r="315" spans="1:31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</row>
    <row r="316" spans="1:31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</row>
    <row r="317" spans="1:31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</row>
    <row r="318" spans="1:31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</row>
    <row r="319" spans="1:31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</row>
    <row r="320" spans="1:31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</row>
    <row r="321" spans="1:3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</row>
    <row r="322" spans="1:31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</row>
    <row r="323" spans="1:31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</row>
    <row r="324" spans="1:31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</row>
    <row r="325" spans="1:31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</row>
    <row r="326" spans="1:31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</row>
    <row r="327" spans="1:31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</row>
    <row r="328" spans="1:31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</row>
    <row r="329" spans="1:31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</row>
    <row r="330" spans="1:31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</row>
    <row r="331" spans="1: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</row>
    <row r="332" spans="1:31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</row>
    <row r="333" spans="1:31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</row>
    <row r="334" spans="1:31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</row>
    <row r="335" spans="1:31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</row>
    <row r="336" spans="1:31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</row>
    <row r="337" spans="1:31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</row>
    <row r="338" spans="1:31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</row>
    <row r="339" spans="1:31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</row>
    <row r="340" spans="1:31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</row>
    <row r="341" spans="1:3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</row>
    <row r="342" spans="1:31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</row>
    <row r="343" spans="1:31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</row>
    <row r="344" spans="1:31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</row>
    <row r="345" spans="1:31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</row>
    <row r="346" spans="1:31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</row>
    <row r="347" spans="1:31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</row>
    <row r="348" spans="1:31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</row>
    <row r="349" spans="1:31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</row>
    <row r="350" spans="1:31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</row>
    <row r="351" spans="1:3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</row>
    <row r="352" spans="1:31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</row>
    <row r="353" spans="1:31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</row>
    <row r="354" spans="1:31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</row>
    <row r="355" spans="1:31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</row>
    <row r="356" spans="1:31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</row>
    <row r="357" spans="1:31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</row>
    <row r="358" spans="1:31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</row>
    <row r="359" spans="1:31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</row>
    <row r="360" spans="1:31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</row>
    <row r="361" spans="1:3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</row>
    <row r="362" spans="1:31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</row>
    <row r="363" spans="1:31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</row>
    <row r="364" spans="1:31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</row>
    <row r="365" spans="1:31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</row>
    <row r="366" spans="1:31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</row>
    <row r="367" spans="1:31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</row>
    <row r="368" spans="1:31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</row>
    <row r="369" spans="1:31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</row>
    <row r="370" spans="1:31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</row>
    <row r="371" spans="1:3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</row>
    <row r="372" spans="1:31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</row>
    <row r="373" spans="1:31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</row>
    <row r="374" spans="1:31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</row>
    <row r="375" spans="1:31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</row>
    <row r="376" spans="1:31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</row>
    <row r="377" spans="1:31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</row>
    <row r="378" spans="1:31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</row>
    <row r="379" spans="1:31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</row>
    <row r="380" spans="1:31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</row>
    <row r="381" spans="1:3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</row>
    <row r="382" spans="1:31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</row>
    <row r="383" spans="1:31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</row>
    <row r="384" spans="1:31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</row>
    <row r="385" spans="1:31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</row>
    <row r="386" spans="1:31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</row>
    <row r="387" spans="1:31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</row>
    <row r="388" spans="1:31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</row>
    <row r="389" spans="1:31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</row>
    <row r="390" spans="1:31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</row>
    <row r="391" spans="1:3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</row>
    <row r="392" spans="1:31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</row>
    <row r="393" spans="1:31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</row>
    <row r="394" spans="1:31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</row>
    <row r="395" spans="1:31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</row>
    <row r="396" spans="1:31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</row>
    <row r="397" spans="1:31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</row>
    <row r="398" spans="1:31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</row>
    <row r="399" spans="1:31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</row>
    <row r="400" spans="1:31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</row>
    <row r="401" spans="1:3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</row>
    <row r="402" spans="1:31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</row>
    <row r="403" spans="1:31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</row>
    <row r="404" spans="1:31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</row>
    <row r="405" spans="1:31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</row>
    <row r="406" spans="1:31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</row>
    <row r="407" spans="1:31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</row>
    <row r="408" spans="1:31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</row>
    <row r="409" spans="1:31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</row>
    <row r="410" spans="1:31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</row>
    <row r="411" spans="1:3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</row>
    <row r="412" spans="1:31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</row>
    <row r="413" spans="1:31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</row>
    <row r="414" spans="1:31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</row>
    <row r="415" spans="1:31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</row>
    <row r="416" spans="1:31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</row>
    <row r="417" spans="1:31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</row>
    <row r="418" spans="1:31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</row>
    <row r="419" spans="1:31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</row>
    <row r="420" spans="1:31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</row>
    <row r="421" spans="1:3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</row>
    <row r="422" spans="1:31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</row>
    <row r="423" spans="1:31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</row>
    <row r="424" spans="1:31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</row>
    <row r="425" spans="1:31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</row>
    <row r="426" spans="1:31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</row>
    <row r="427" spans="1:31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</row>
    <row r="428" spans="1:31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</row>
    <row r="429" spans="1:31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</row>
    <row r="430" spans="1:31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</row>
    <row r="431" spans="1: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</row>
    <row r="432" spans="1:31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</row>
    <row r="433" spans="1:31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</row>
    <row r="434" spans="1:31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</row>
    <row r="435" spans="1:31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</row>
    <row r="436" spans="1:31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</row>
    <row r="437" spans="1:31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</row>
    <row r="438" spans="1:31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</row>
    <row r="439" spans="1:31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</row>
    <row r="440" spans="1:31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</row>
    <row r="441" spans="1:3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</row>
    <row r="442" spans="1:31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</row>
    <row r="443" spans="1:31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</row>
    <row r="444" spans="1:31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</row>
    <row r="445" spans="1:31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</row>
    <row r="446" spans="1:31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</row>
    <row r="447" spans="1:31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</row>
    <row r="448" spans="1:31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</row>
    <row r="449" spans="1:31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</row>
    <row r="450" spans="1:31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</row>
    <row r="451" spans="1:3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</row>
    <row r="452" spans="1:31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</row>
    <row r="453" spans="1:31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</row>
    <row r="454" spans="1:31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</row>
    <row r="455" spans="1:31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</row>
    <row r="456" spans="1:31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</row>
    <row r="457" spans="1:31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</row>
    <row r="458" spans="1:31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</row>
    <row r="459" spans="1:31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</row>
    <row r="460" spans="1:31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</row>
    <row r="461" spans="1:3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</row>
    <row r="462" spans="1:31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</row>
    <row r="463" spans="1:31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</row>
    <row r="464" spans="1:31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</row>
    <row r="465" spans="1:31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</row>
    <row r="466" spans="1:31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</row>
    <row r="467" spans="1:31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</row>
    <row r="468" spans="1:31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</row>
    <row r="469" spans="1:31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</row>
    <row r="470" spans="1:31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</row>
    <row r="471" spans="1:3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</row>
    <row r="472" spans="1:31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</row>
    <row r="473" spans="1:31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</row>
    <row r="474" spans="1:31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</row>
    <row r="475" spans="1:31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</row>
    <row r="476" spans="1:31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</row>
    <row r="477" spans="1:31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</row>
    <row r="478" spans="1:31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</row>
    <row r="479" spans="1:31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</row>
    <row r="480" spans="1:31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</row>
    <row r="481" spans="1:3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</row>
    <row r="482" spans="1:31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</row>
    <row r="483" spans="1:31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</row>
    <row r="484" spans="1:31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</row>
    <row r="485" spans="1:31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</row>
    <row r="486" spans="1:31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</row>
    <row r="487" spans="1:31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</row>
    <row r="488" spans="1:31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</row>
    <row r="489" spans="1:31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</row>
    <row r="490" spans="1:31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</row>
    <row r="491" spans="1:3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</row>
    <row r="492" spans="1:31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</row>
    <row r="493" spans="1:31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</row>
    <row r="494" spans="1:31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</row>
    <row r="495" spans="1:31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</row>
    <row r="496" spans="1:31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</row>
    <row r="497" spans="1:31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</row>
    <row r="498" spans="1:31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</row>
    <row r="499" spans="1:31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</row>
    <row r="500" spans="1:31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</row>
    <row r="501" spans="1:3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</row>
    <row r="502" spans="1:31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</row>
    <row r="503" spans="1:31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</row>
    <row r="504" spans="1:31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</row>
    <row r="505" spans="1:31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</row>
    <row r="506" spans="1:31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</row>
    <row r="507" spans="1:31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</row>
    <row r="508" spans="1:31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</row>
    <row r="509" spans="1:31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</row>
    <row r="510" spans="1:31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</row>
    <row r="511" spans="1:3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</row>
    <row r="512" spans="1:31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</row>
    <row r="513" spans="1:31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</row>
    <row r="514" spans="1:31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</row>
    <row r="515" spans="1:31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</row>
    <row r="516" spans="1:31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</row>
    <row r="517" spans="1:31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</row>
    <row r="518" spans="1:31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</row>
    <row r="519" spans="1:31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</row>
    <row r="520" spans="1:31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</row>
    <row r="521" spans="1:3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</row>
    <row r="522" spans="1:31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</row>
    <row r="523" spans="1:31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</row>
    <row r="524" spans="1:31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</row>
    <row r="525" spans="1:31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</row>
    <row r="526" spans="1:31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</row>
    <row r="527" spans="1:31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</row>
    <row r="528" spans="1:31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</row>
    <row r="529" spans="1:31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</row>
    <row r="530" spans="1:31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</row>
    <row r="531" spans="1: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</row>
    <row r="532" spans="1:31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</row>
    <row r="533" spans="1:31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</row>
    <row r="534" spans="1:31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</row>
    <row r="535" spans="1:31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</row>
    <row r="536" spans="1:31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</row>
    <row r="537" spans="1:31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</row>
    <row r="538" spans="1:31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</row>
    <row r="539" spans="1:31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</row>
    <row r="540" spans="1:31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</row>
    <row r="541" spans="1:3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</row>
    <row r="542" spans="1:31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</row>
    <row r="543" spans="1:31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</row>
    <row r="544" spans="1:31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</row>
    <row r="545" spans="1:31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</row>
    <row r="546" spans="1:31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</row>
    <row r="547" spans="1:31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</row>
    <row r="548" spans="1:31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</row>
    <row r="549" spans="1:31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</row>
    <row r="550" spans="1:31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</row>
    <row r="551" spans="1:3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</row>
    <row r="552" spans="1:31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</row>
    <row r="553" spans="1:31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</row>
    <row r="554" spans="1:31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</row>
    <row r="555" spans="1:31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</row>
    <row r="556" spans="1:31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</row>
    <row r="557" spans="1:31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</row>
    <row r="558" spans="1:31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</row>
    <row r="559" spans="1:31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</row>
    <row r="560" spans="1:31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</row>
    <row r="561" spans="1:3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</row>
    <row r="562" spans="1:31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</row>
    <row r="563" spans="1:31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</row>
    <row r="564" spans="1:31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</row>
    <row r="565" spans="1:31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</row>
    <row r="566" spans="1:31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</row>
    <row r="567" spans="1:31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</row>
    <row r="568" spans="1:31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</row>
    <row r="569" spans="1:31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</row>
    <row r="570" spans="1:31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</row>
    <row r="571" spans="1:3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</row>
    <row r="572" spans="1:31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</row>
    <row r="573" spans="1:31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</row>
    <row r="574" spans="1:31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</row>
    <row r="575" spans="1:31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</row>
    <row r="576" spans="1:31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</row>
    <row r="577" spans="1:31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</row>
    <row r="578" spans="1:31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</row>
    <row r="579" spans="1:31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</row>
    <row r="580" spans="1:31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</row>
    <row r="581" spans="1:3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</row>
    <row r="582" spans="1:31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</row>
    <row r="583" spans="1:31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</row>
    <row r="584" spans="1:31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</row>
    <row r="585" spans="1:31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</row>
    <row r="586" spans="1:31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</row>
    <row r="587" spans="1:31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</row>
    <row r="588" spans="1:31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</row>
    <row r="589" spans="1:31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</row>
    <row r="590" spans="1:31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</row>
    <row r="591" spans="1:3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</row>
    <row r="592" spans="1:31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</row>
    <row r="593" spans="1:31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</row>
    <row r="594" spans="1:31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</row>
    <row r="595" spans="1:31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</row>
    <row r="596" spans="1:31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</row>
    <row r="597" spans="1:31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</row>
    <row r="598" spans="1:31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</row>
    <row r="599" spans="1:31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</row>
    <row r="600" spans="1:31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</row>
    <row r="601" spans="1:3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</row>
    <row r="602" spans="1:31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</row>
    <row r="603" spans="1:31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</row>
    <row r="604" spans="1:31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</row>
    <row r="605" spans="1:31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</row>
    <row r="606" spans="1:31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</row>
    <row r="607" spans="1:31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</row>
    <row r="608" spans="1:31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</row>
    <row r="609" spans="1:31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</row>
    <row r="610" spans="1:31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</row>
    <row r="611" spans="1:3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</row>
    <row r="612" spans="1:31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</row>
    <row r="613" spans="1:31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</row>
    <row r="614" spans="1:31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</row>
    <row r="615" spans="1:31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</row>
    <row r="616" spans="1:31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</row>
    <row r="617" spans="1:31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</row>
    <row r="618" spans="1:31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</row>
    <row r="619" spans="1:31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</row>
    <row r="620" spans="1:31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</row>
    <row r="621" spans="1:3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</row>
    <row r="622" spans="1:31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</row>
    <row r="623" spans="1:31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</row>
    <row r="624" spans="1:31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</row>
    <row r="625" spans="1:31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</row>
    <row r="626" spans="1:31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</row>
    <row r="627" spans="1:31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</row>
    <row r="628" spans="1:31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</row>
    <row r="629" spans="1:31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</row>
    <row r="630" spans="1:31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</row>
    <row r="631" spans="1: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</row>
    <row r="632" spans="1:31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</row>
    <row r="633" spans="1:31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</row>
    <row r="634" spans="1:31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</row>
    <row r="635" spans="1:31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</row>
    <row r="636" spans="1:31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</row>
    <row r="637" spans="1:31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</row>
    <row r="638" spans="1:31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</row>
    <row r="639" spans="1:31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</row>
    <row r="640" spans="1:31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</row>
    <row r="641" spans="1:3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</row>
    <row r="642" spans="1:31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</row>
    <row r="643" spans="1:31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</row>
    <row r="644" spans="1:31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</row>
    <row r="645" spans="1:31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</row>
    <row r="646" spans="1:31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</row>
    <row r="647" spans="1:31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</row>
    <row r="648" spans="1:31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</row>
    <row r="649" spans="1:31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</row>
    <row r="650" spans="1:31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</row>
    <row r="651" spans="1:3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</row>
    <row r="652" spans="1:31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</row>
    <row r="653" spans="1:31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</row>
    <row r="654" spans="1:31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</row>
    <row r="655" spans="1:31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</row>
    <row r="656" spans="1:31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</row>
    <row r="657" spans="1:31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</row>
    <row r="658" spans="1:31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</row>
    <row r="659" spans="1:31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</row>
    <row r="660" spans="1:31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</row>
    <row r="661" spans="1:3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</row>
    <row r="662" spans="1:31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</row>
    <row r="663" spans="1:31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</row>
    <row r="664" spans="1:31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</row>
    <row r="665" spans="1:31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</row>
    <row r="666" spans="1:31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</row>
    <row r="667" spans="1:31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</row>
    <row r="668" spans="1:31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</row>
    <row r="669" spans="1:31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</row>
    <row r="670" spans="1:31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</row>
    <row r="671" spans="1:3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</row>
    <row r="672" spans="1:31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</row>
    <row r="673" spans="1:31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</row>
    <row r="674" spans="1:31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</row>
    <row r="675" spans="1:31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</row>
    <row r="676" spans="1:31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</row>
    <row r="677" spans="1:31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</row>
    <row r="678" spans="1:31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</row>
    <row r="679" spans="1:31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</row>
    <row r="680" spans="1:31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</row>
    <row r="681" spans="1:3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</row>
    <row r="682" spans="1:31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</row>
    <row r="683" spans="1:31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</row>
    <row r="684" spans="1:31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</row>
    <row r="685" spans="1:31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</row>
    <row r="686" spans="1:31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</row>
    <row r="687" spans="1:31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</row>
    <row r="688" spans="1:31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</row>
    <row r="689" spans="1:31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</row>
    <row r="690" spans="1:31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</row>
    <row r="691" spans="1:3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</row>
    <row r="692" spans="1:31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</row>
    <row r="693" spans="1:31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</row>
    <row r="694" spans="1:31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</row>
    <row r="695" spans="1:31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</row>
    <row r="696" spans="1:31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</row>
    <row r="697" spans="1:31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</row>
    <row r="698" spans="1:31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</row>
    <row r="699" spans="1:31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</row>
    <row r="700" spans="1:31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</row>
    <row r="701" spans="1:3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</row>
    <row r="702" spans="1:31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</row>
    <row r="703" spans="1:31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</row>
    <row r="704" spans="1:31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</row>
    <row r="705" spans="1:31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</row>
    <row r="706" spans="1:31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</row>
    <row r="707" spans="1:31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</row>
    <row r="708" spans="1:31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</row>
    <row r="709" spans="1:31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</row>
    <row r="710" spans="1:31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</row>
    <row r="711" spans="1:3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</row>
    <row r="712" spans="1:31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</row>
    <row r="713" spans="1:31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</row>
    <row r="714" spans="1:31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</row>
    <row r="715" spans="1:31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</row>
    <row r="716" spans="1:31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</row>
    <row r="717" spans="1:31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</row>
    <row r="718" spans="1:31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</row>
    <row r="719" spans="1:31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</row>
    <row r="720" spans="1:31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</row>
    <row r="721" spans="1:3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</row>
    <row r="722" spans="1:31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</row>
    <row r="723" spans="1:31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</row>
    <row r="724" spans="1:31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</row>
    <row r="725" spans="1:31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</row>
    <row r="726" spans="1:31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</row>
    <row r="727" spans="1:31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</row>
    <row r="728" spans="1:31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</row>
    <row r="729" spans="1:31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</row>
    <row r="730" spans="1:31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</row>
    <row r="731" spans="1: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</row>
    <row r="732" spans="1:31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</row>
    <row r="733" spans="1:31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</row>
    <row r="734" spans="1:31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</row>
    <row r="735" spans="1:31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</row>
    <row r="736" spans="1:31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</row>
    <row r="737" spans="1:31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</row>
    <row r="738" spans="1:31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</row>
    <row r="739" spans="1:31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</row>
    <row r="740" spans="1:31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</row>
    <row r="741" spans="1:3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</row>
    <row r="742" spans="1:31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</row>
    <row r="743" spans="1:31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</row>
    <row r="744" spans="1:31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</row>
    <row r="745" spans="1:31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</row>
    <row r="746" spans="1:31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</row>
    <row r="747" spans="1:31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</row>
    <row r="748" spans="1:31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</row>
    <row r="749" spans="1:31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</row>
    <row r="750" spans="1:31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</row>
    <row r="751" spans="1:3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</row>
    <row r="752" spans="1:31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</row>
    <row r="753" spans="1:31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</row>
    <row r="754" spans="1:31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</row>
    <row r="755" spans="1:31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</row>
    <row r="756" spans="1:31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</row>
    <row r="757" spans="1:31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</row>
    <row r="758" spans="1:31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</row>
    <row r="759" spans="1:31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</row>
    <row r="760" spans="1:31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</row>
    <row r="761" spans="1:3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</row>
    <row r="762" spans="1:31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</row>
    <row r="763" spans="1:31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</row>
    <row r="764" spans="1:31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</row>
    <row r="765" spans="1:31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</row>
    <row r="766" spans="1:31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</row>
    <row r="767" spans="1:31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</row>
    <row r="768" spans="1:31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</row>
    <row r="769" spans="1:31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</row>
    <row r="770" spans="1:31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</row>
    <row r="771" spans="1:3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</row>
    <row r="772" spans="1:31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</row>
    <row r="773" spans="1:31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</row>
    <row r="774" spans="1:31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</row>
    <row r="775" spans="1:31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</row>
    <row r="776" spans="1:31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</row>
    <row r="777" spans="1:31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</row>
    <row r="778" spans="1:31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</row>
    <row r="779" spans="1:31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</row>
    <row r="780" spans="1:31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</row>
    <row r="781" spans="1:3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</row>
    <row r="782" spans="1:31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</row>
    <row r="783" spans="1:31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</row>
    <row r="784" spans="1:31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</row>
    <row r="785" spans="1:31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</row>
    <row r="786" spans="1:31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</row>
    <row r="787" spans="1:31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</row>
    <row r="788" spans="1:31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</row>
    <row r="789" spans="1:31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</row>
    <row r="790" spans="1:31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</row>
    <row r="791" spans="1:3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</row>
    <row r="792" spans="1:31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</row>
    <row r="793" spans="1:31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</row>
    <row r="794" spans="1:31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</row>
    <row r="795" spans="1:31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</row>
    <row r="796" spans="1:31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</row>
    <row r="797" spans="1:31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</row>
    <row r="798" spans="1:31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</row>
    <row r="799" spans="1:31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</row>
    <row r="800" spans="1:31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</row>
    <row r="801" spans="1:3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</row>
    <row r="802" spans="1:31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</row>
    <row r="803" spans="1:31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</row>
    <row r="804" spans="1:31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</row>
    <row r="805" spans="1:31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</row>
    <row r="806" spans="1:31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</row>
    <row r="807" spans="1:31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</row>
    <row r="808" spans="1:31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</row>
    <row r="809" spans="1:31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</row>
    <row r="810" spans="1:31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</row>
    <row r="811" spans="1:3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</row>
    <row r="812" spans="1:31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</row>
    <row r="813" spans="1:31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</row>
    <row r="814" spans="1:31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</row>
    <row r="815" spans="1:31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</row>
    <row r="816" spans="1:31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</row>
    <row r="817" spans="1:31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</row>
    <row r="818" spans="1:31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</row>
    <row r="819" spans="1:31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</row>
    <row r="820" spans="1:31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</row>
    <row r="821" spans="1:3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</row>
    <row r="822" spans="1:31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</row>
    <row r="823" spans="1:31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</row>
    <row r="824" spans="1:31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</row>
    <row r="825" spans="1:31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</row>
    <row r="826" spans="1:31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</row>
    <row r="827" spans="1:31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</row>
    <row r="828" spans="1:31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</row>
    <row r="829" spans="1:31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</row>
    <row r="830" spans="1:31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</row>
    <row r="831" spans="1: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</row>
    <row r="832" spans="1:31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</row>
    <row r="833" spans="1:31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</row>
    <row r="834" spans="1:31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</row>
    <row r="835" spans="1:31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</row>
    <row r="836" spans="1:31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</row>
    <row r="837" spans="1:31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</row>
    <row r="838" spans="1:31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</row>
    <row r="839" spans="1:31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</row>
    <row r="840" spans="1:31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</row>
    <row r="841" spans="1:3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</row>
    <row r="842" spans="1:31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</row>
    <row r="843" spans="1:31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</row>
    <row r="844" spans="1:31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</row>
    <row r="845" spans="1:31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</row>
    <row r="846" spans="1:31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</row>
    <row r="847" spans="1:31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</row>
    <row r="848" spans="1:31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</row>
    <row r="849" spans="1:31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</row>
    <row r="850" spans="1:31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</row>
    <row r="851" spans="1:3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</row>
    <row r="852" spans="1:31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</row>
    <row r="853" spans="1:31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</row>
    <row r="854" spans="1:31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</row>
    <row r="855" spans="1:31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</row>
    <row r="856" spans="1:31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</row>
    <row r="857" spans="1:31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</row>
    <row r="858" spans="1:31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</row>
    <row r="859" spans="1:31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</row>
    <row r="860" spans="1:31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</row>
    <row r="861" spans="1:3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</row>
    <row r="862" spans="1:31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</row>
    <row r="863" spans="1:31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</row>
    <row r="864" spans="1:31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</row>
    <row r="865" spans="1:31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</row>
    <row r="866" spans="1:31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</row>
    <row r="867" spans="1:31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</row>
    <row r="868" spans="1:31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</row>
    <row r="869" spans="1:31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</row>
    <row r="870" spans="1:31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</row>
    <row r="871" spans="1:3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</row>
    <row r="872" spans="1:31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</row>
    <row r="873" spans="1:31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</row>
    <row r="874" spans="1:31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</row>
    <row r="875" spans="1:31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</row>
    <row r="876" spans="1:31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</row>
    <row r="877" spans="1:31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</row>
    <row r="878" spans="1:31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</row>
    <row r="879" spans="1:31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</row>
    <row r="880" spans="1:31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</row>
    <row r="881" spans="1:3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</row>
    <row r="882" spans="1:31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</row>
    <row r="883" spans="1:31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</row>
    <row r="884" spans="1:31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</row>
    <row r="885" spans="1:31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</row>
    <row r="886" spans="1:31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</row>
    <row r="887" spans="1:31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</row>
    <row r="888" spans="1:31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</row>
    <row r="889" spans="1:31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</row>
    <row r="890" spans="1:31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</row>
    <row r="891" spans="1:3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</row>
    <row r="892" spans="1:31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</row>
    <row r="893" spans="1:31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</row>
    <row r="894" spans="1:31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</row>
    <row r="895" spans="1:31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</row>
    <row r="896" spans="1:31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</row>
    <row r="897" spans="1:31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</row>
    <row r="898" spans="1:31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</row>
    <row r="899" spans="1:31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</row>
    <row r="900" spans="1:31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</row>
    <row r="901" spans="1:3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</row>
    <row r="902" spans="1:31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</row>
    <row r="903" spans="1:31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</row>
    <row r="904" spans="1:31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</row>
    <row r="905" spans="1:31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</row>
    <row r="906" spans="1:31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</row>
    <row r="907" spans="1:31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</row>
    <row r="908" spans="1:31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</row>
    <row r="909" spans="1:31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</row>
    <row r="910" spans="1:31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</row>
    <row r="911" spans="1:3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</row>
    <row r="912" spans="1:31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</row>
    <row r="913" spans="1:31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</row>
    <row r="914" spans="1:31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</row>
    <row r="915" spans="1:31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</row>
    <row r="916" spans="1:31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</row>
    <row r="917" spans="1:31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</row>
    <row r="918" spans="1:31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</row>
    <row r="919" spans="1:31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</row>
    <row r="920" spans="1:31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</row>
    <row r="921" spans="1:3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</row>
    <row r="922" spans="1:31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</row>
    <row r="923" spans="1:31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</row>
    <row r="924" spans="1:31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</row>
    <row r="925" spans="1:31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</row>
    <row r="926" spans="1:31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</row>
    <row r="927" spans="1:31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</row>
    <row r="928" spans="1:31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</row>
    <row r="929" spans="1:31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</row>
    <row r="930" spans="1:31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</row>
    <row r="931" spans="1: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</row>
    <row r="932" spans="1:31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</row>
    <row r="933" spans="1:31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</row>
    <row r="934" spans="1:31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</row>
    <row r="935" spans="1:31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</row>
    <row r="936" spans="1:31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</row>
    <row r="937" spans="1:31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</row>
    <row r="938" spans="1:31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</row>
    <row r="939" spans="1:31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</row>
    <row r="940" spans="1:31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</row>
    <row r="941" spans="1:3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</row>
    <row r="942" spans="1:31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</row>
    <row r="943" spans="1:31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</row>
    <row r="944" spans="1:31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</row>
    <row r="945" spans="1:31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</row>
    <row r="946" spans="1:31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</row>
    <row r="947" spans="1:31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</row>
    <row r="948" spans="1:31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</row>
    <row r="949" spans="1:31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</row>
    <row r="950" spans="1:31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</row>
    <row r="951" spans="1:3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</row>
    <row r="952" spans="1:31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</row>
    <row r="953" spans="1:31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</row>
    <row r="954" spans="1:31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</row>
    <row r="955" spans="1:31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</row>
    <row r="956" spans="1:31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</row>
    <row r="957" spans="1:31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</row>
    <row r="958" spans="1:31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</row>
    <row r="959" spans="1:31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</row>
    <row r="960" spans="1:31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</row>
    <row r="961" spans="1:3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</row>
    <row r="962" spans="1:31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</row>
    <row r="963" spans="1:31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</row>
    <row r="964" spans="1:31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</row>
    <row r="965" spans="1:31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</row>
    <row r="966" spans="1:31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</row>
    <row r="967" spans="1:31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</row>
    <row r="968" spans="1:31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</row>
    <row r="969" spans="1:31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</row>
    <row r="970" spans="1:31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</row>
    <row r="971" spans="1:3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</row>
    <row r="972" spans="1:31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</row>
    <row r="973" spans="1:31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</row>
    <row r="974" spans="1:31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</row>
    <row r="975" spans="1:31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</row>
    <row r="976" spans="1:31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</row>
    <row r="977" spans="1:31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</row>
    <row r="978" spans="1:31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</row>
    <row r="979" spans="1:31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</row>
    <row r="980" spans="1:31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</row>
    <row r="981" spans="1:3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</row>
    <row r="982" spans="1:31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</row>
    <row r="983" spans="1:31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</row>
    <row r="984" spans="1:31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</row>
    <row r="985" spans="1:31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</row>
    <row r="986" spans="1:31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</row>
    <row r="987" spans="1:31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</row>
    <row r="988" spans="1:31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</row>
    <row r="989" spans="1:31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</row>
    <row r="990" spans="1:31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</row>
    <row r="991" spans="1:3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</row>
    <row r="992" spans="1:31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</row>
    <row r="993" spans="1:31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</row>
    <row r="994" spans="1:31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</row>
    <row r="995" spans="1:31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</row>
    <row r="996" spans="1:31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</row>
    <row r="997" spans="1:31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</row>
    <row r="998" spans="1:31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</row>
    <row r="999" spans="1:31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</row>
    <row r="1000" spans="1:31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</row>
  </sheetData>
  <conditionalFormatting sqref="H9:H108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Intro</vt:lpstr>
      <vt:lpstr>Funciones Básicas</vt:lpstr>
      <vt:lpstr>Suma en Matriz</vt:lpstr>
      <vt:lpstr>Contar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Russell Tito</cp:lastModifiedBy>
  <dcterms:created xsi:type="dcterms:W3CDTF">2025-06-30T03:01:06Z</dcterms:created>
  <dcterms:modified xsi:type="dcterms:W3CDTF">2026-01-21T04:27:15Z</dcterms:modified>
</cp:coreProperties>
</file>