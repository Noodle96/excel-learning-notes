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jorge\excel\basico\02_formulas_funciones_esenciales\"/>
    </mc:Choice>
  </mc:AlternateContent>
  <xr:revisionPtr revIDLastSave="0" documentId="13_ncr:1_{B27BC533-AA66-4703-8278-6F4589544C0D}" xr6:coauthVersionLast="47" xr6:coauthVersionMax="47" xr10:uidLastSave="{00000000-0000-0000-0000-000000000000}"/>
  <bookViews>
    <workbookView xWindow="-120" yWindow="-120" windowWidth="29040" windowHeight="15720" activeTab="2" xr2:uid="{7E7EDB53-EDB3-422D-901C-95C36075F89C}"/>
  </bookViews>
  <sheets>
    <sheet name="Ingresos" sheetId="4" r:id="rId1"/>
    <sheet name="Gastos" sheetId="6" r:id="rId2"/>
    <sheet name="Ingresos y Gastos" sheetId="1" r:id="rId3"/>
  </sheets>
  <definedNames>
    <definedName name="_xlnm._FilterDatabase" localSheetId="0" hidden="1">Ingresos!$A$11:$J$41</definedName>
    <definedName name="_xlnm._FilterDatabase" localSheetId="2" hidden="1">'Ingresos y Gastos'!$A$14:$J$69</definedName>
    <definedName name="SegmentaciónDeDatos_¿Es_gasto_fijo_o_variable?">#N/A</definedName>
    <definedName name="SegmentaciónDeDatos_¿Es_necesario_o_prescindible?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4"/>
        <x14:slicerCache r:id="rId5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8" i="6" l="1"/>
  <c r="N17" i="6"/>
  <c r="N16" i="6"/>
  <c r="N15" i="6"/>
  <c r="N14" i="6"/>
  <c r="N13" i="6"/>
  <c r="G3" i="4"/>
  <c r="G4" i="4"/>
  <c r="G8" i="4"/>
  <c r="G7" i="4"/>
  <c r="G6" i="4"/>
  <c r="G5" i="4"/>
  <c r="G9" i="4"/>
</calcChain>
</file>

<file path=xl/sharedStrings.xml><?xml version="1.0" encoding="utf-8"?>
<sst xmlns="http://schemas.openxmlformats.org/spreadsheetml/2006/main" count="936" uniqueCount="154">
  <si>
    <t>Fecha</t>
  </si>
  <si>
    <t>¿Fue planeado o imprevisto?</t>
  </si>
  <si>
    <t>¿Es necesario o prescindible?</t>
  </si>
  <si>
    <t>¿Es gasto fijo o variable?</t>
  </si>
  <si>
    <t>Forma de pago</t>
  </si>
  <si>
    <t>Monto</t>
  </si>
  <si>
    <t>Tipo (Ingreso/Gasto)</t>
  </si>
  <si>
    <t>Descripción</t>
  </si>
  <si>
    <t xml:space="preserve"> Subcategoría</t>
  </si>
  <si>
    <t>Categoría</t>
  </si>
  <si>
    <t>Da formato: Color, alineación, bordes,etc</t>
  </si>
  <si>
    <t>Agrega las columnas que decidas: Fecha, Categoría, Subcategoría, Descripción, Tipo (Ingreso/Gasto), Monto, Forma de pago, ¿Es gasto fijo o variable?, ¿Es necesario o prescindible?, Mes, ¿Fue planeado o imprevisto?</t>
  </si>
  <si>
    <t xml:space="preserve">Empieza a agregar tus datos </t>
  </si>
  <si>
    <t>27/06/2024</t>
  </si>
  <si>
    <t>Ocio</t>
  </si>
  <si>
    <t>Suscripciones</t>
  </si>
  <si>
    <t>Suscripciones de Camila</t>
  </si>
  <si>
    <t>Gasto</t>
  </si>
  <si>
    <t>Transferencia</t>
  </si>
  <si>
    <t>Variable</t>
  </si>
  <si>
    <t>24/06/2024</t>
  </si>
  <si>
    <t>Educación</t>
  </si>
  <si>
    <t>Libros</t>
  </si>
  <si>
    <t>Libros de Camila</t>
  </si>
  <si>
    <t>Efectivo</t>
  </si>
  <si>
    <t>Fijo</t>
  </si>
  <si>
    <t>17/06/2024</t>
  </si>
  <si>
    <t>Alimentación</t>
  </si>
  <si>
    <t>Supermercado</t>
  </si>
  <si>
    <t>Supermercado de Camila</t>
  </si>
  <si>
    <t>22/07/2024</t>
  </si>
  <si>
    <t>Tarjeta de débito</t>
  </si>
  <si>
    <t>02/06/2024</t>
  </si>
  <si>
    <t>Vivienda</t>
  </si>
  <si>
    <t>Servicios</t>
  </si>
  <si>
    <t>Servicios de Camila</t>
  </si>
  <si>
    <t>21/06/2024</t>
  </si>
  <si>
    <t>Ingresos</t>
  </si>
  <si>
    <t>Sueldo</t>
  </si>
  <si>
    <t>Sueldo de Camila</t>
  </si>
  <si>
    <t>Ingreso</t>
  </si>
  <si>
    <t>Tarjeta de crédito</t>
  </si>
  <si>
    <t>Conciertos</t>
  </si>
  <si>
    <t>Conciertos de Camila</t>
  </si>
  <si>
    <t>05/06/2024</t>
  </si>
  <si>
    <t>Salud</t>
  </si>
  <si>
    <t>Seguro médico</t>
  </si>
  <si>
    <t>Seguro médico de Camila</t>
  </si>
  <si>
    <t>18/06/2024</t>
  </si>
  <si>
    <t>06/07/2024</t>
  </si>
  <si>
    <t>23/06/2024</t>
  </si>
  <si>
    <t>Freelance</t>
  </si>
  <si>
    <t>Freelance de Camila</t>
  </si>
  <si>
    <t>29/06/2024</t>
  </si>
  <si>
    <t>05/07/2024</t>
  </si>
  <si>
    <t>Medicinas</t>
  </si>
  <si>
    <t>Medicinas de Camila</t>
  </si>
  <si>
    <t>28/06/2024</t>
  </si>
  <si>
    <t>Café</t>
  </si>
  <si>
    <t>Café de Camila</t>
  </si>
  <si>
    <t>27/07/2024</t>
  </si>
  <si>
    <t>Cine</t>
  </si>
  <si>
    <t>Cine de Camila</t>
  </si>
  <si>
    <t>11/07/2024</t>
  </si>
  <si>
    <t>16/06/2024</t>
  </si>
  <si>
    <t>Restaurante</t>
  </si>
  <si>
    <t>Restaurante de Camila</t>
  </si>
  <si>
    <t>09/06/2024</t>
  </si>
  <si>
    <t>22/06/2024</t>
  </si>
  <si>
    <t>31/07/2024</t>
  </si>
  <si>
    <t>17/07/2024</t>
  </si>
  <si>
    <t>15/07/2024</t>
  </si>
  <si>
    <t>Prescindible</t>
  </si>
  <si>
    <t>Imprevisto</t>
  </si>
  <si>
    <t>Planeado</t>
  </si>
  <si>
    <t>Necesario</t>
  </si>
  <si>
    <t>Reembolso</t>
  </si>
  <si>
    <t>Reembolso por gastos de trabajo</t>
  </si>
  <si>
    <t>Depósito</t>
  </si>
  <si>
    <t>Proyecto freelance UX para startup</t>
  </si>
  <si>
    <t>Extra</t>
  </si>
  <si>
    <t>Regalo</t>
  </si>
  <si>
    <t>Regalo de cumpleaños de papás</t>
  </si>
  <si>
    <t>Inesperado</t>
  </si>
  <si>
    <t>Pago mensual empresa UXCorp</t>
  </si>
  <si>
    <t>Bonificación</t>
  </si>
  <si>
    <t>Bonificación por buen desempeño</t>
  </si>
  <si>
    <t>Venta de segunda mano</t>
  </si>
  <si>
    <t>Venta de ropa y gadgets usados</t>
  </si>
  <si>
    <t>PayPal</t>
  </si>
  <si>
    <t>Total de Ingresos</t>
  </si>
  <si>
    <t>Promedio de Ingresos</t>
  </si>
  <si>
    <t>Ingreso Mínimo</t>
  </si>
  <si>
    <t>¿Cuántos movimientos hay registrados?</t>
  </si>
  <si>
    <t>Estado general de ingresos</t>
  </si>
  <si>
    <t>Estado general de gastos</t>
  </si>
  <si>
    <t>Total de Gastos</t>
  </si>
  <si>
    <t>Promedio de Gastos</t>
  </si>
  <si>
    <t>Gasto Mínimo</t>
  </si>
  <si>
    <t>30/06/2025</t>
  </si>
  <si>
    <t>Comida a domicilio</t>
  </si>
  <si>
    <t>Comida a domicilio del mes de June</t>
  </si>
  <si>
    <t>Débito</t>
  </si>
  <si>
    <t>09/08/2025</t>
  </si>
  <si>
    <t>Talleres</t>
  </si>
  <si>
    <t>Talleres del mes de August</t>
  </si>
  <si>
    <t>03/08/2025</t>
  </si>
  <si>
    <t>Personales</t>
  </si>
  <si>
    <t>Regalos</t>
  </si>
  <si>
    <t>Regalos del mes de August</t>
  </si>
  <si>
    <t>24/06/2025</t>
  </si>
  <si>
    <t>Consulta médica</t>
  </si>
  <si>
    <t>Consulta médica del mes de June</t>
  </si>
  <si>
    <t>24/08/2025</t>
  </si>
  <si>
    <t>Servicios (agua, luz, gas)</t>
  </si>
  <si>
    <t>Servicios (agua, luz, gas) del mes de August</t>
  </si>
  <si>
    <t>28/07/2025</t>
  </si>
  <si>
    <t>Comida a domicilio del mes de July</t>
  </si>
  <si>
    <t>Ropa</t>
  </si>
  <si>
    <t>Ropa del mes de August</t>
  </si>
  <si>
    <t>15/06/2025</t>
  </si>
  <si>
    <t>Medicinas del mes de June</t>
  </si>
  <si>
    <t>08/06/2025</t>
  </si>
  <si>
    <t>Regalos del mes de June</t>
  </si>
  <si>
    <t>16/07/2025</t>
  </si>
  <si>
    <t>Transporte</t>
  </si>
  <si>
    <t>Uber</t>
  </si>
  <si>
    <t>Uber del mes de July</t>
  </si>
  <si>
    <t>11/07/2025</t>
  </si>
  <si>
    <t>Entretenimiento</t>
  </si>
  <si>
    <t>Eventos</t>
  </si>
  <si>
    <t>Eventos del mes de July</t>
  </si>
  <si>
    <t>07/06/2025</t>
  </si>
  <si>
    <t>Seguro médico del mes de June</t>
  </si>
  <si>
    <t>25/07/2025</t>
  </si>
  <si>
    <t>29/06/2025</t>
  </si>
  <si>
    <t>Renta</t>
  </si>
  <si>
    <t>Renta del mes de June</t>
  </si>
  <si>
    <t>20/06/2025</t>
  </si>
  <si>
    <t>Cine del mes de June</t>
  </si>
  <si>
    <t>30/08/2025</t>
  </si>
  <si>
    <t>Uber del mes de August</t>
  </si>
  <si>
    <t>21/08/2025</t>
  </si>
  <si>
    <t>Supermercado del mes de August</t>
  </si>
  <si>
    <t>19/07/2025</t>
  </si>
  <si>
    <t>Cine del mes de July</t>
  </si>
  <si>
    <t>Netflix</t>
  </si>
  <si>
    <t>Netflix del mes de June</t>
  </si>
  <si>
    <t>¿Hay algún registro sin monto?</t>
  </si>
  <si>
    <t>Gasto Máximo</t>
  </si>
  <si>
    <t>Ingreso Máximo</t>
  </si>
  <si>
    <t>REVISAR</t>
  </si>
  <si>
    <t>Monto por filtro activado</t>
  </si>
  <si>
    <t>revisar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</si>
</sst>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;[Red]\-&quot;$&quot;#,##0.00"/>
    <numFmt numFmtId="165" formatCode="_(@_)"/>
    <numFmt numFmtId="170" formatCode="_-[$$-409]* #,##0.00_ ;_-[$$-409]* \-#,##0.00\ ;_-[$$-409]* &quot;-&quot;??_ ;_-@_ "/>
  </numFmts>
  <fonts count="10">
    <font>
      <sz val="11"/>
      <color theme="1"/>
      <name val="Aptos Narrow"/>
      <family val="2"/>
      <scheme val="minor"/>
    </font>
    <font>
      <b/>
      <sz val="11"/>
      <color theme="1"/>
      <name val="IBM Plex Sans"/>
      <family val="2"/>
    </font>
    <font>
      <b/>
      <sz val="10"/>
      <color theme="1"/>
      <name val="Century Gothic"/>
      <family val="2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2"/>
      <color theme="1"/>
      <name val="Century Gothic"/>
      <family val="2"/>
    </font>
    <font>
      <b/>
      <sz val="11"/>
      <color theme="0"/>
      <name val="Century Gothic"/>
      <family val="2"/>
    </font>
    <font>
      <sz val="12"/>
      <color theme="1"/>
      <name val="Century Gothic"/>
      <family val="2"/>
    </font>
    <font>
      <u/>
      <sz val="11"/>
      <color theme="1"/>
      <name val="Aptos Narrow"/>
      <family val="2"/>
      <scheme val="minor"/>
    </font>
    <font>
      <b/>
      <u/>
      <sz val="11"/>
      <color theme="1"/>
      <name val="IBM Plex Sans"/>
      <family val="2"/>
    </font>
  </fonts>
  <fills count="6">
    <fill>
      <patternFill patternType="none"/>
    </fill>
    <fill>
      <patternFill patternType="gray125"/>
    </fill>
    <fill>
      <patternFill patternType="solid">
        <fgColor rgb="FF99FF99"/>
        <bgColor indexed="64"/>
      </patternFill>
    </fill>
    <fill>
      <patternFill patternType="solid">
        <fgColor rgb="FF0BF49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/>
    <xf numFmtId="0" fontId="1" fillId="3" borderId="0" xfId="0" applyFont="1" applyFill="1" applyAlignment="1">
      <alignment horizontal="center"/>
    </xf>
    <xf numFmtId="14" fontId="0" fillId="0" borderId="0" xfId="0" applyNumberFormat="1" applyAlignment="1">
      <alignment horizontal="left"/>
    </xf>
    <xf numFmtId="14" fontId="2" fillId="2" borderId="0" xfId="0" applyNumberFormat="1" applyFont="1" applyFill="1" applyAlignment="1">
      <alignment horizontal="left" vertical="center" wrapText="1"/>
    </xf>
    <xf numFmtId="165" fontId="2" fillId="2" borderId="0" xfId="0" applyNumberFormat="1" applyFont="1" applyFill="1" applyAlignment="1">
      <alignment horizontal="left" vertical="center" wrapText="1"/>
    </xf>
    <xf numFmtId="14" fontId="3" fillId="0" borderId="0" xfId="0" applyNumberFormat="1" applyFont="1" applyAlignment="1">
      <alignment horizontal="left"/>
    </xf>
    <xf numFmtId="0" fontId="3" fillId="0" borderId="0" xfId="0" applyFont="1"/>
    <xf numFmtId="14" fontId="2" fillId="2" borderId="0" xfId="0" applyNumberFormat="1" applyFont="1" applyFill="1" applyAlignment="1">
      <alignment horizontal="center" vertical="center" wrapText="1"/>
    </xf>
    <xf numFmtId="165" fontId="2" fillId="2" borderId="0" xfId="0" applyNumberFormat="1" applyFont="1" applyFill="1" applyAlignment="1">
      <alignment horizontal="center" vertical="center" wrapText="1"/>
    </xf>
    <xf numFmtId="14" fontId="5" fillId="2" borderId="0" xfId="0" applyNumberFormat="1" applyFont="1" applyFill="1" applyAlignment="1">
      <alignment horizontal="center" vertical="center" wrapText="1"/>
    </xf>
    <xf numFmtId="165" fontId="5" fillId="2" borderId="0" xfId="0" applyNumberFormat="1" applyFont="1" applyFill="1" applyAlignment="1">
      <alignment horizontal="center" vertical="center" wrapText="1"/>
    </xf>
    <xf numFmtId="0" fontId="6" fillId="4" borderId="0" xfId="0" applyFont="1" applyFill="1"/>
    <xf numFmtId="14" fontId="7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164" fontId="7" fillId="0" borderId="0" xfId="0" applyNumberFormat="1" applyFont="1" applyAlignment="1">
      <alignment horizontal="right" vertical="center"/>
    </xf>
    <xf numFmtId="164" fontId="1" fillId="5" borderId="0" xfId="0" applyNumberFormat="1" applyFont="1" applyFill="1" applyAlignment="1">
      <alignment horizontal="center"/>
    </xf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165" fontId="4" fillId="2" borderId="0" xfId="0" applyNumberFormat="1" applyFont="1" applyFill="1" applyAlignment="1">
      <alignment horizontal="center" vertical="center" wrapText="1"/>
    </xf>
    <xf numFmtId="164" fontId="0" fillId="5" borderId="0" xfId="0" applyNumberForma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  <xf numFmtId="0" fontId="4" fillId="0" borderId="0" xfId="0" applyFont="1"/>
    <xf numFmtId="170" fontId="3" fillId="0" borderId="0" xfId="0" applyNumberFormat="1" applyFont="1"/>
    <xf numFmtId="0" fontId="8" fillId="0" borderId="0" xfId="0" applyFont="1"/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numFmt numFmtId="164" formatCode="&quot;$&quot;#,##0.00;[Red]\-&quot;$&quot;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numFmt numFmtId="164" formatCode="&quot;$&quot;#,##0.00;[Red]\-&quot;$&quot;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numFmt numFmtId="166" formatCode="dd/mm/yyyy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numFmt numFmtId="165" formatCode="_(@_)"/>
      <fill>
        <patternFill patternType="solid">
          <fgColor indexed="64"/>
          <bgColor rgb="FF99FF99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2.xml"/><Relationship Id="rId4" Type="http://schemas.microsoft.com/office/2007/relationships/slicerCache" Target="slicerCaches/slicerCache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99060</xdr:colOff>
      <xdr:row>0</xdr:row>
      <xdr:rowOff>91440</xdr:rowOff>
    </xdr:from>
    <xdr:ext cx="5554980" cy="1126371"/>
    <xdr:pic>
      <xdr:nvPicPr>
        <xdr:cNvPr id="2" name="Imagen 1">
          <a:extLst>
            <a:ext uri="{FF2B5EF4-FFF2-40B4-BE49-F238E27FC236}">
              <a16:creationId xmlns:a16="http://schemas.microsoft.com/office/drawing/2014/main" id="{8776493F-DFCF-45D6-B0C2-A63D7CD5B9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91440"/>
          <a:ext cx="5554980" cy="1126371"/>
        </a:xfrm>
        <a:prstGeom prst="rect">
          <a:avLst/>
        </a:prstGeom>
      </xdr:spPr>
    </xdr:pic>
    <xdr:clientData/>
  </xdr:oneCellAnchor>
  <xdr:twoCellAnchor>
    <xdr:from>
      <xdr:col>1</xdr:col>
      <xdr:colOff>441960</xdr:colOff>
      <xdr:row>1</xdr:row>
      <xdr:rowOff>30481</xdr:rowOff>
    </xdr:from>
    <xdr:to>
      <xdr:col>3</xdr:col>
      <xdr:colOff>297180</xdr:colOff>
      <xdr:row>5</xdr:row>
      <xdr:rowOff>106681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99FD7F7B-B90A-4C64-B9BE-7768742003F2}"/>
            </a:ext>
          </a:extLst>
        </xdr:cNvPr>
        <xdr:cNvSpPr txBox="1"/>
      </xdr:nvSpPr>
      <xdr:spPr>
        <a:xfrm>
          <a:off x="1234440" y="213361"/>
          <a:ext cx="2453640" cy="8077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4000" b="1">
              <a:solidFill>
                <a:schemeClr val="bg1"/>
              </a:solidFill>
              <a:latin typeface="Century Gothic" panose="020B0502020202020204" pitchFamily="34" charset="0"/>
            </a:rPr>
            <a:t>Ingresos</a:t>
          </a:r>
        </a:p>
      </xdr:txBody>
    </xdr:sp>
    <xdr:clientData/>
  </xdr:twoCellAnchor>
  <xdr:twoCellAnchor editAs="absolute">
    <xdr:from>
      <xdr:col>8</xdr:col>
      <xdr:colOff>188375</xdr:colOff>
      <xdr:row>0</xdr:row>
      <xdr:rowOff>113567</xdr:rowOff>
    </xdr:from>
    <xdr:to>
      <xdr:col>9</xdr:col>
      <xdr:colOff>1117796</xdr:colOff>
      <xdr:row>7</xdr:row>
      <xdr:rowOff>4982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4" name="¿Es gasto fijo o variable?">
              <a:extLst>
                <a:ext uri="{FF2B5EF4-FFF2-40B4-BE49-F238E27FC236}">
                  <a16:creationId xmlns:a16="http://schemas.microsoft.com/office/drawing/2014/main" id="{AC166058-6A63-F225-5D6E-EF3650806DC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¿Es gasto fijo o variable?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67149" y="113567"/>
              <a:ext cx="2074253" cy="12194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419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10</xdr:col>
      <xdr:colOff>52095</xdr:colOff>
      <xdr:row>0</xdr:row>
      <xdr:rowOff>58396</xdr:rowOff>
    </xdr:from>
    <xdr:to>
      <xdr:col>12</xdr:col>
      <xdr:colOff>468117</xdr:colOff>
      <xdr:row>6</xdr:row>
      <xdr:rowOff>144631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5" name="¿Es necesario o prescindible?">
              <a:extLst>
                <a:ext uri="{FF2B5EF4-FFF2-40B4-BE49-F238E27FC236}">
                  <a16:creationId xmlns:a16="http://schemas.microsoft.com/office/drawing/2014/main" id="{7D3446E8-8201-83C9-7BE4-AB8EA25AC15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¿Es necesario o prescindible?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513609" y="58396"/>
              <a:ext cx="2101215" cy="122190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419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99060</xdr:colOff>
      <xdr:row>0</xdr:row>
      <xdr:rowOff>91440</xdr:rowOff>
    </xdr:from>
    <xdr:ext cx="5554980" cy="1126371"/>
    <xdr:pic>
      <xdr:nvPicPr>
        <xdr:cNvPr id="2" name="Imagen 1">
          <a:extLst>
            <a:ext uri="{FF2B5EF4-FFF2-40B4-BE49-F238E27FC236}">
              <a16:creationId xmlns:a16="http://schemas.microsoft.com/office/drawing/2014/main" id="{FA6CC6FF-CC7A-43E5-8BF2-E76CF476C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91440"/>
          <a:ext cx="5554980" cy="1126371"/>
        </a:xfrm>
        <a:prstGeom prst="rect">
          <a:avLst/>
        </a:prstGeom>
      </xdr:spPr>
    </xdr:pic>
    <xdr:clientData/>
  </xdr:oneCellAnchor>
  <xdr:twoCellAnchor>
    <xdr:from>
      <xdr:col>1</xdr:col>
      <xdr:colOff>441960</xdr:colOff>
      <xdr:row>1</xdr:row>
      <xdr:rowOff>30481</xdr:rowOff>
    </xdr:from>
    <xdr:to>
      <xdr:col>3</xdr:col>
      <xdr:colOff>297180</xdr:colOff>
      <xdr:row>5</xdr:row>
      <xdr:rowOff>106681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EC804AE5-BAA2-4144-98DD-4A4D0E3E12D9}"/>
            </a:ext>
          </a:extLst>
        </xdr:cNvPr>
        <xdr:cNvSpPr txBox="1"/>
      </xdr:nvSpPr>
      <xdr:spPr>
        <a:xfrm>
          <a:off x="1234440" y="213361"/>
          <a:ext cx="2453640" cy="8077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4000" b="1">
              <a:solidFill>
                <a:schemeClr val="bg1"/>
              </a:solidFill>
              <a:latin typeface="Century Gothic" panose="020B0502020202020204" pitchFamily="34" charset="0"/>
            </a:rPr>
            <a:t>Gastos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</xdr:colOff>
      <xdr:row>0</xdr:row>
      <xdr:rowOff>53340</xdr:rowOff>
    </xdr:from>
    <xdr:ext cx="8589644" cy="1741703"/>
    <xdr:pic>
      <xdr:nvPicPr>
        <xdr:cNvPr id="2" name="Imagen 1">
          <a:extLst>
            <a:ext uri="{FF2B5EF4-FFF2-40B4-BE49-F238E27FC236}">
              <a16:creationId xmlns:a16="http://schemas.microsoft.com/office/drawing/2014/main" id="{8818AF21-4649-4ED0-B139-B118211088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57150"/>
          <a:ext cx="8589644" cy="1741703"/>
        </a:xfrm>
        <a:prstGeom prst="rect">
          <a:avLst/>
        </a:prstGeom>
      </xdr:spPr>
    </xdr:pic>
    <xdr:clientData/>
  </xdr:oneCellAnchor>
  <xdr:twoCellAnchor>
    <xdr:from>
      <xdr:col>1</xdr:col>
      <xdr:colOff>716280</xdr:colOff>
      <xdr:row>1</xdr:row>
      <xdr:rowOff>30480</xdr:rowOff>
    </xdr:from>
    <xdr:to>
      <xdr:col>9</xdr:col>
      <xdr:colOff>0</xdr:colOff>
      <xdr:row>8</xdr:row>
      <xdr:rowOff>146685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D274FD69-1292-4DFD-A73F-7E5B95A2CBFA}"/>
            </a:ext>
          </a:extLst>
        </xdr:cNvPr>
        <xdr:cNvSpPr txBox="1"/>
      </xdr:nvSpPr>
      <xdr:spPr>
        <a:xfrm>
          <a:off x="1504950" y="209550"/>
          <a:ext cx="5610225" cy="13830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4000" b="1">
              <a:solidFill>
                <a:schemeClr val="bg1"/>
              </a:solidFill>
              <a:latin typeface="Century Gothic" panose="020B0502020202020204" pitchFamily="34" charset="0"/>
            </a:rPr>
            <a:t>Seguimiento</a:t>
          </a:r>
          <a:r>
            <a:rPr lang="es-MX" sz="4000" b="1" baseline="0">
              <a:solidFill>
                <a:schemeClr val="bg1"/>
              </a:solidFill>
              <a:latin typeface="Century Gothic" panose="020B0502020202020204" pitchFamily="34" charset="0"/>
            </a:rPr>
            <a:t> de Finanzas Personales</a:t>
          </a:r>
          <a:endParaRPr lang="es-MX" sz="4000" b="1">
            <a:solidFill>
              <a:schemeClr val="bg1"/>
            </a:solidFill>
            <a:latin typeface="Century Gothic" panose="020B0502020202020204" pitchFamily="34" charset="0"/>
          </a:endParaRPr>
        </a:p>
      </xdr:txBody>
    </xdr:sp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¿Es_gasto_fijo_o_variable?" xr10:uid="{67A072B2-2998-4827-A001-E813AA14209E}" sourceName="¿Es gasto fijo o variable?">
  <extLst>
    <x:ext xmlns:x15="http://schemas.microsoft.com/office/spreadsheetml/2010/11/main" uri="{2F2917AC-EB37-4324-AD4E-5DD8C200BD13}">
      <x15:tableSlicerCache tableId="1" column="8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¿Es_necesario_o_prescindible?" xr10:uid="{8990A07D-BF28-4912-AA4C-5D3D42585151}" sourceName="¿Es necesario o prescindible?">
  <extLst>
    <x:ext xmlns:x15="http://schemas.microsoft.com/office/spreadsheetml/2010/11/main" uri="{2F2917AC-EB37-4324-AD4E-5DD8C200BD13}">
      <x15:tableSlicerCache tableId="1" column="9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¿Es gasto fijo o variable?" xr10:uid="{DF668054-6AA4-4984-8372-9EBF5384D5D4}" cache="SegmentaciónDeDatos_¿Es_gasto_fijo_o_variable?" caption="¿Es gasto fijo o variable?" style="SlicerStyleLight3" rowHeight="247650"/>
  <slicer name="¿Es necesario o prescindible?" xr10:uid="{FDE459A9-1F17-4153-BBBF-7071D22C0A25}" cache="SegmentaciónDeDatos_¿Es_necesario_o_prescindible?" caption="¿Es necesario o prescindible?" style="SlicerStyleLight3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FAC7D5-1FD1-4F7E-8DFC-55B5F45BB40A}" name="Ingresos" displayName="Ingresos" ref="A11:J41" headerRowDxfId="21" dataDxfId="20">
  <autoFilter ref="A11:J41" xr:uid="{74FAC7D5-1FD1-4F7E-8DFC-55B5F45BB40A}">
    <filterColumn colId="8">
      <filters>
        <filter val="Extra"/>
      </filters>
    </filterColumn>
  </autoFilter>
  <tableColumns count="10">
    <tableColumn id="1" xr3:uid="{E4DE3812-C948-4482-A5E9-D274EA43281A}" name="Fecha" totalsRowLabel="Total" dataDxfId="19" totalsRowDxfId="18"/>
    <tableColumn id="2" xr3:uid="{4D9FB474-43BE-454E-99D5-07AD1AFCB226}" name="Categoría" dataDxfId="17" totalsRowDxfId="16"/>
    <tableColumn id="3" xr3:uid="{E2567CF8-B49F-4F61-B3BE-901E84CBF551}" name=" Subcategoría" dataDxfId="15" totalsRowDxfId="14"/>
    <tableColumn id="4" xr3:uid="{020D3F1B-093F-4C13-B2B5-7818FDBBDD37}" name="Descripción" dataDxfId="13" totalsRowDxfId="12"/>
    <tableColumn id="5" xr3:uid="{D7A09419-8679-4D92-8C73-C553309F2E2A}" name="Tipo (Ingreso/Gasto)" dataDxfId="11" totalsRowDxfId="10"/>
    <tableColumn id="6" xr3:uid="{C2B77023-831F-41B8-B38B-8D867554C7A6}" name="Monto" totalsRowFunction="sum" dataDxfId="9" totalsRowDxfId="8"/>
    <tableColumn id="7" xr3:uid="{1B3F88B7-0DF0-4401-803C-FB6115F07ED0}" name="Forma de pago" dataDxfId="7" totalsRowDxfId="6"/>
    <tableColumn id="8" xr3:uid="{29DEFEC2-2EFF-4CDC-87D7-50E7640DBBE8}" name="¿Es gasto fijo o variable?" dataDxfId="5" totalsRowDxfId="4"/>
    <tableColumn id="9" xr3:uid="{7C879FE0-847D-4D42-8CBE-1835AEE99AF6}" name="¿Es necesario o prescindible?" dataDxfId="3" totalsRowDxfId="2"/>
    <tableColumn id="10" xr3:uid="{2802FE72-CCC0-49EC-A240-7A58235455B7}" name="¿Fue planeado o imprevisto?" totalsRowFunction="count" dataDxfId="1" totalsRowDxfId="0"/>
  </tableColumns>
  <tableStyleInfo name="TableStyleLight1" showFirstColumn="0" showLastColumn="1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EC50F-70C0-4198-979F-69DADC6D1F82}">
  <dimension ref="A1:J41"/>
  <sheetViews>
    <sheetView zoomScale="104" zoomScaleNormal="70" workbookViewId="0">
      <selection activeCell="G8" sqref="G8:H8"/>
    </sheetView>
  </sheetViews>
  <sheetFormatPr baseColWidth="10" defaultRowHeight="14.25"/>
  <cols>
    <col min="1" max="1" width="14" bestFit="1" customWidth="1"/>
    <col min="2" max="2" width="15" customWidth="1"/>
    <col min="3" max="3" width="14.5" customWidth="1"/>
    <col min="4" max="4" width="24.875" customWidth="1"/>
    <col min="5" max="5" width="13.625" customWidth="1"/>
    <col min="6" max="6" width="37.125" customWidth="1"/>
    <col min="7" max="7" width="21.125" customWidth="1"/>
    <col min="8" max="8" width="15.625" customWidth="1"/>
    <col min="9" max="9" width="15" customWidth="1"/>
    <col min="10" max="10" width="18.875" customWidth="1"/>
    <col min="13" max="13" width="41.625" customWidth="1"/>
  </cols>
  <sheetData>
    <row r="1" spans="1:10">
      <c r="F1" s="20" t="s">
        <v>94</v>
      </c>
      <c r="G1" s="20"/>
      <c r="H1" s="20"/>
    </row>
    <row r="3" spans="1:10" ht="15">
      <c r="F3" s="13" t="s">
        <v>90</v>
      </c>
      <c r="G3" s="21">
        <f>SUM(F12:F41)</f>
        <v>213035.8</v>
      </c>
      <c r="H3" s="17"/>
    </row>
    <row r="4" spans="1:10" ht="15">
      <c r="F4" s="13" t="s">
        <v>91</v>
      </c>
      <c r="G4" s="21">
        <f>AVERAGE(F12:F41)</f>
        <v>7346.062068965517</v>
      </c>
      <c r="H4" s="17"/>
    </row>
    <row r="5" spans="1:10" ht="15">
      <c r="F5" s="13" t="s">
        <v>150</v>
      </c>
      <c r="G5" s="21">
        <f>MAX(F12:F41)</f>
        <v>14234.44</v>
      </c>
      <c r="H5" s="17"/>
    </row>
    <row r="6" spans="1:10" ht="15">
      <c r="F6" s="13" t="s">
        <v>92</v>
      </c>
      <c r="G6" s="21">
        <f>MIN(F12:F41)</f>
        <v>716.49</v>
      </c>
      <c r="H6" s="17"/>
    </row>
    <row r="7" spans="1:10" ht="15">
      <c r="F7" s="13" t="s">
        <v>93</v>
      </c>
      <c r="G7" s="18">
        <f>COUNT(F12:F41)</f>
        <v>29</v>
      </c>
      <c r="H7" s="19"/>
    </row>
    <row r="8" spans="1:10" ht="15">
      <c r="F8" s="13" t="s">
        <v>148</v>
      </c>
      <c r="G8" s="22">
        <f>COUNTA(F12:F41)</f>
        <v>30</v>
      </c>
      <c r="H8" s="23"/>
    </row>
    <row r="9" spans="1:10" ht="15">
      <c r="F9" s="13" t="s">
        <v>152</v>
      </c>
      <c r="G9" s="17">
        <f>SUBTOTAL(9,F13:F61)</f>
        <v>185144.43000000002</v>
      </c>
      <c r="H9" s="17"/>
    </row>
    <row r="11" spans="1:10" ht="63" customHeight="1">
      <c r="A11" s="11" t="s">
        <v>0</v>
      </c>
      <c r="B11" s="12" t="s">
        <v>9</v>
      </c>
      <c r="C11" s="12" t="s">
        <v>8</v>
      </c>
      <c r="D11" s="12" t="s">
        <v>7</v>
      </c>
      <c r="E11" s="12" t="s">
        <v>6</v>
      </c>
      <c r="F11" s="12" t="s">
        <v>5</v>
      </c>
      <c r="G11" s="12" t="s">
        <v>4</v>
      </c>
      <c r="H11" s="12" t="s">
        <v>3</v>
      </c>
      <c r="I11" s="12" t="s">
        <v>2</v>
      </c>
      <c r="J11" s="12" t="s">
        <v>1</v>
      </c>
    </row>
    <row r="12" spans="1:10" ht="17.25">
      <c r="A12" s="14">
        <v>45865</v>
      </c>
      <c r="B12" s="15" t="s">
        <v>37</v>
      </c>
      <c r="C12" s="15" t="s">
        <v>85</v>
      </c>
      <c r="D12" s="15" t="s">
        <v>86</v>
      </c>
      <c r="E12" s="15" t="s">
        <v>40</v>
      </c>
      <c r="F12" s="16">
        <v>4709.33</v>
      </c>
      <c r="G12" s="15" t="s">
        <v>78</v>
      </c>
      <c r="H12" s="15" t="s">
        <v>19</v>
      </c>
      <c r="I12" s="15" t="s">
        <v>80</v>
      </c>
      <c r="J12" s="15" t="s">
        <v>83</v>
      </c>
    </row>
    <row r="13" spans="1:10" ht="17.25">
      <c r="A13" s="14">
        <v>45850</v>
      </c>
      <c r="B13" s="15" t="s">
        <v>37</v>
      </c>
      <c r="C13" s="15" t="s">
        <v>85</v>
      </c>
      <c r="D13" s="15" t="s">
        <v>86</v>
      </c>
      <c r="E13" s="15" t="s">
        <v>40</v>
      </c>
      <c r="F13" s="16">
        <v>8828.7900000000009</v>
      </c>
      <c r="G13" s="15" t="s">
        <v>18</v>
      </c>
      <c r="H13" s="15" t="s">
        <v>19</v>
      </c>
      <c r="I13" s="15" t="s">
        <v>80</v>
      </c>
      <c r="J13" s="15" t="s">
        <v>83</v>
      </c>
    </row>
    <row r="14" spans="1:10" ht="17.25">
      <c r="A14" s="14">
        <v>45881</v>
      </c>
      <c r="B14" s="15" t="s">
        <v>37</v>
      </c>
      <c r="C14" s="15" t="s">
        <v>85</v>
      </c>
      <c r="D14" s="15" t="s">
        <v>86</v>
      </c>
      <c r="E14" s="15" t="s">
        <v>40</v>
      </c>
      <c r="F14" s="16">
        <v>12365.99</v>
      </c>
      <c r="G14" s="15" t="s">
        <v>24</v>
      </c>
      <c r="H14" s="15" t="s">
        <v>19</v>
      </c>
      <c r="I14" s="15" t="s">
        <v>80</v>
      </c>
      <c r="J14" s="15" t="s">
        <v>83</v>
      </c>
    </row>
    <row r="15" spans="1:10" ht="17.25">
      <c r="A15" s="14">
        <v>45881</v>
      </c>
      <c r="B15" s="15" t="s">
        <v>37</v>
      </c>
      <c r="C15" s="15" t="s">
        <v>85</v>
      </c>
      <c r="D15" s="15" t="s">
        <v>86</v>
      </c>
      <c r="E15" s="15" t="s">
        <v>40</v>
      </c>
      <c r="F15" s="16">
        <v>12960.63</v>
      </c>
      <c r="G15" s="15" t="s">
        <v>78</v>
      </c>
      <c r="H15" s="15" t="s">
        <v>19</v>
      </c>
      <c r="I15" s="15" t="s">
        <v>80</v>
      </c>
      <c r="J15" s="15" t="s">
        <v>83</v>
      </c>
    </row>
    <row r="16" spans="1:10" ht="17.25">
      <c r="A16" s="14">
        <v>45886</v>
      </c>
      <c r="B16" s="15" t="s">
        <v>37</v>
      </c>
      <c r="C16" s="15" t="s">
        <v>51</v>
      </c>
      <c r="D16" s="15" t="s">
        <v>79</v>
      </c>
      <c r="E16" s="15" t="s">
        <v>40</v>
      </c>
      <c r="F16" s="16">
        <v>1215.6300000000001</v>
      </c>
      <c r="G16" s="15" t="s">
        <v>89</v>
      </c>
      <c r="H16" s="15" t="s">
        <v>19</v>
      </c>
      <c r="I16" s="15" t="s">
        <v>80</v>
      </c>
      <c r="J16" s="15" t="s">
        <v>74</v>
      </c>
    </row>
    <row r="17" spans="1:10" ht="17.25">
      <c r="A17" s="14">
        <v>45821</v>
      </c>
      <c r="B17" s="15" t="s">
        <v>37</v>
      </c>
      <c r="C17" s="15" t="s">
        <v>51</v>
      </c>
      <c r="D17" s="15" t="s">
        <v>79</v>
      </c>
      <c r="E17" s="15" t="s">
        <v>40</v>
      </c>
      <c r="F17" s="16">
        <v>6628.01</v>
      </c>
      <c r="G17" s="15" t="s">
        <v>78</v>
      </c>
      <c r="H17" s="15" t="s">
        <v>19</v>
      </c>
      <c r="I17" s="15" t="s">
        <v>80</v>
      </c>
      <c r="J17" s="15" t="s">
        <v>74</v>
      </c>
    </row>
    <row r="18" spans="1:10" ht="17.25">
      <c r="A18" s="14">
        <v>45841</v>
      </c>
      <c r="B18" s="15" t="s">
        <v>37</v>
      </c>
      <c r="C18" s="15" t="s">
        <v>51</v>
      </c>
      <c r="D18" s="15" t="s">
        <v>79</v>
      </c>
      <c r="E18" s="15" t="s">
        <v>40</v>
      </c>
      <c r="F18" s="16">
        <v>7141.86</v>
      </c>
      <c r="G18" s="15" t="s">
        <v>18</v>
      </c>
      <c r="H18" s="15" t="s">
        <v>19</v>
      </c>
      <c r="I18" s="15" t="s">
        <v>80</v>
      </c>
      <c r="J18" s="15" t="s">
        <v>74</v>
      </c>
    </row>
    <row r="19" spans="1:10" ht="17.25">
      <c r="A19" s="14">
        <v>45822</v>
      </c>
      <c r="B19" s="15" t="s">
        <v>37</v>
      </c>
      <c r="C19" s="15" t="s">
        <v>51</v>
      </c>
      <c r="D19" s="15" t="s">
        <v>79</v>
      </c>
      <c r="E19" s="15" t="s">
        <v>40</v>
      </c>
      <c r="F19" s="16">
        <v>8616.33</v>
      </c>
      <c r="G19" s="15" t="s">
        <v>18</v>
      </c>
      <c r="H19" s="15" t="s">
        <v>19</v>
      </c>
      <c r="I19" s="15" t="s">
        <v>80</v>
      </c>
      <c r="J19" s="15" t="s">
        <v>74</v>
      </c>
    </row>
    <row r="20" spans="1:10" ht="17.25">
      <c r="A20" s="14">
        <v>45898</v>
      </c>
      <c r="B20" s="15" t="s">
        <v>37</v>
      </c>
      <c r="C20" s="15" t="s">
        <v>51</v>
      </c>
      <c r="D20" s="15" t="s">
        <v>79</v>
      </c>
      <c r="E20" s="15" t="s">
        <v>40</v>
      </c>
      <c r="F20" s="16">
        <v>10475.23</v>
      </c>
      <c r="G20" s="15" t="s">
        <v>89</v>
      </c>
      <c r="H20" s="15" t="s">
        <v>19</v>
      </c>
      <c r="I20" s="15" t="s">
        <v>80</v>
      </c>
      <c r="J20" s="15" t="s">
        <v>74</v>
      </c>
    </row>
    <row r="21" spans="1:10" ht="17.25">
      <c r="A21" s="14">
        <v>45880</v>
      </c>
      <c r="B21" s="15" t="s">
        <v>37</v>
      </c>
      <c r="C21" s="15" t="s">
        <v>51</v>
      </c>
      <c r="D21" s="15" t="s">
        <v>79</v>
      </c>
      <c r="E21" s="15" t="s">
        <v>40</v>
      </c>
      <c r="F21" s="16">
        <v>12604.84</v>
      </c>
      <c r="G21" s="15" t="s">
        <v>89</v>
      </c>
      <c r="H21" s="15" t="s">
        <v>19</v>
      </c>
      <c r="I21" s="15" t="s">
        <v>80</v>
      </c>
      <c r="J21" s="15" t="s">
        <v>74</v>
      </c>
    </row>
    <row r="22" spans="1:10" ht="17.25">
      <c r="A22" s="14">
        <v>45890</v>
      </c>
      <c r="B22" s="15" t="s">
        <v>37</v>
      </c>
      <c r="C22" s="15" t="s">
        <v>51</v>
      </c>
      <c r="D22" s="15" t="s">
        <v>79</v>
      </c>
      <c r="E22" s="15" t="s">
        <v>40</v>
      </c>
      <c r="F22" s="16">
        <v>14118.44</v>
      </c>
      <c r="G22" s="15" t="s">
        <v>18</v>
      </c>
      <c r="H22" s="15" t="s">
        <v>19</v>
      </c>
      <c r="I22" s="15" t="s">
        <v>80</v>
      </c>
      <c r="J22" s="15" t="s">
        <v>74</v>
      </c>
    </row>
    <row r="23" spans="1:10" ht="17.25" hidden="1">
      <c r="A23" s="14">
        <v>45812</v>
      </c>
      <c r="B23" s="15" t="s">
        <v>37</v>
      </c>
      <c r="C23" s="15" t="s">
        <v>76</v>
      </c>
      <c r="D23" s="15" t="s">
        <v>77</v>
      </c>
      <c r="E23" s="15" t="s">
        <v>40</v>
      </c>
      <c r="F23" s="16">
        <v>7114.39</v>
      </c>
      <c r="G23" s="15" t="s">
        <v>78</v>
      </c>
      <c r="H23" s="15" t="s">
        <v>19</v>
      </c>
      <c r="I23" s="15" t="s">
        <v>75</v>
      </c>
      <c r="J23" s="15" t="s">
        <v>74</v>
      </c>
    </row>
    <row r="24" spans="1:10" ht="17.25" hidden="1">
      <c r="A24" s="14">
        <v>45866</v>
      </c>
      <c r="B24" s="15" t="s">
        <v>37</v>
      </c>
      <c r="C24" s="15" t="s">
        <v>76</v>
      </c>
      <c r="D24" s="15" t="s">
        <v>77</v>
      </c>
      <c r="E24" s="15" t="s">
        <v>40</v>
      </c>
      <c r="F24" s="16">
        <v>7653.06</v>
      </c>
      <c r="G24" s="15" t="s">
        <v>18</v>
      </c>
      <c r="H24" s="15" t="s">
        <v>19</v>
      </c>
      <c r="I24" s="15" t="s">
        <v>75</v>
      </c>
      <c r="J24" s="15" t="s">
        <v>74</v>
      </c>
    </row>
    <row r="25" spans="1:10" ht="17.25" hidden="1">
      <c r="A25" s="14">
        <v>45874</v>
      </c>
      <c r="B25" s="15" t="s">
        <v>37</v>
      </c>
      <c r="C25" s="15" t="s">
        <v>76</v>
      </c>
      <c r="D25" s="15" t="s">
        <v>77</v>
      </c>
      <c r="E25" s="15" t="s">
        <v>40</v>
      </c>
      <c r="F25" s="16">
        <v>8414.59</v>
      </c>
      <c r="G25" s="15" t="s">
        <v>18</v>
      </c>
      <c r="H25" s="15" t="s">
        <v>19</v>
      </c>
      <c r="I25" s="15" t="s">
        <v>75</v>
      </c>
      <c r="J25" s="15" t="s">
        <v>74</v>
      </c>
    </row>
    <row r="26" spans="1:10" ht="17.25">
      <c r="A26" s="14">
        <v>45821</v>
      </c>
      <c r="B26" s="15" t="s">
        <v>37</v>
      </c>
      <c r="C26" s="15" t="s">
        <v>81</v>
      </c>
      <c r="D26" s="15" t="s">
        <v>82</v>
      </c>
      <c r="E26" s="15" t="s">
        <v>40</v>
      </c>
      <c r="F26" s="16">
        <v>1530.69</v>
      </c>
      <c r="G26" s="15" t="s">
        <v>24</v>
      </c>
      <c r="H26" s="15" t="s">
        <v>19</v>
      </c>
      <c r="I26" s="15" t="s">
        <v>80</v>
      </c>
      <c r="J26" s="15" t="s">
        <v>83</v>
      </c>
    </row>
    <row r="27" spans="1:10" ht="17.25">
      <c r="A27" s="14">
        <v>45854</v>
      </c>
      <c r="B27" s="15" t="s">
        <v>37</v>
      </c>
      <c r="C27" s="15" t="s">
        <v>81</v>
      </c>
      <c r="D27" s="15" t="s">
        <v>82</v>
      </c>
      <c r="E27" s="15" t="s">
        <v>40</v>
      </c>
      <c r="F27" s="16">
        <v>2635.97</v>
      </c>
      <c r="G27" s="15" t="s">
        <v>18</v>
      </c>
      <c r="H27" s="15" t="s">
        <v>19</v>
      </c>
      <c r="I27" s="15" t="s">
        <v>80</v>
      </c>
      <c r="J27" s="15" t="s">
        <v>83</v>
      </c>
    </row>
    <row r="28" spans="1:10" ht="17.25">
      <c r="A28" s="14">
        <v>45838</v>
      </c>
      <c r="B28" s="15" t="s">
        <v>37</v>
      </c>
      <c r="C28" s="15" t="s">
        <v>81</v>
      </c>
      <c r="D28" s="15" t="s">
        <v>82</v>
      </c>
      <c r="E28" s="15" t="s">
        <v>40</v>
      </c>
      <c r="F28" s="16">
        <v>3198.32</v>
      </c>
      <c r="G28" s="15" t="s">
        <v>24</v>
      </c>
      <c r="H28" s="15" t="s">
        <v>19</v>
      </c>
      <c r="I28" s="15" t="s">
        <v>80</v>
      </c>
      <c r="J28" s="15" t="s">
        <v>83</v>
      </c>
    </row>
    <row r="29" spans="1:10" ht="17.25">
      <c r="A29" s="14">
        <v>45887</v>
      </c>
      <c r="B29" s="15" t="s">
        <v>37</v>
      </c>
      <c r="C29" s="15" t="s">
        <v>81</v>
      </c>
      <c r="D29" s="15" t="s">
        <v>82</v>
      </c>
      <c r="E29" s="15" t="s">
        <v>40</v>
      </c>
      <c r="F29" s="16">
        <v>4005.52</v>
      </c>
      <c r="G29" s="15" t="s">
        <v>89</v>
      </c>
      <c r="H29" s="15" t="s">
        <v>19</v>
      </c>
      <c r="I29" s="15" t="s">
        <v>80</v>
      </c>
      <c r="J29" s="15" t="s">
        <v>83</v>
      </c>
    </row>
    <row r="30" spans="1:10" ht="17.25">
      <c r="A30" s="14">
        <v>45882</v>
      </c>
      <c r="B30" s="15" t="s">
        <v>37</v>
      </c>
      <c r="C30" s="15" t="s">
        <v>81</v>
      </c>
      <c r="D30" s="15" t="s">
        <v>82</v>
      </c>
      <c r="E30" s="15" t="s">
        <v>40</v>
      </c>
      <c r="F30" s="16">
        <v>6355.85</v>
      </c>
      <c r="G30" s="15" t="s">
        <v>78</v>
      </c>
      <c r="H30" s="15" t="s">
        <v>19</v>
      </c>
      <c r="I30" s="15" t="s">
        <v>80</v>
      </c>
      <c r="J30" s="15" t="s">
        <v>83</v>
      </c>
    </row>
    <row r="31" spans="1:10" ht="17.25">
      <c r="A31" s="14">
        <v>45870</v>
      </c>
      <c r="B31" s="15" t="s">
        <v>37</v>
      </c>
      <c r="C31" s="15" t="s">
        <v>81</v>
      </c>
      <c r="D31" s="15" t="s">
        <v>82</v>
      </c>
      <c r="E31" s="15" t="s">
        <v>40</v>
      </c>
      <c r="F31" s="16">
        <v>9175.4599999999991</v>
      </c>
      <c r="G31" s="15" t="s">
        <v>24</v>
      </c>
      <c r="H31" s="15" t="s">
        <v>19</v>
      </c>
      <c r="I31" s="15" t="s">
        <v>80</v>
      </c>
      <c r="J31" s="15" t="s">
        <v>83</v>
      </c>
    </row>
    <row r="32" spans="1:10" ht="17.25">
      <c r="A32" s="14">
        <v>45890</v>
      </c>
      <c r="B32" s="15" t="s">
        <v>37</v>
      </c>
      <c r="C32" s="15" t="s">
        <v>81</v>
      </c>
      <c r="D32" s="15" t="s">
        <v>82</v>
      </c>
      <c r="E32" s="15" t="s">
        <v>40</v>
      </c>
      <c r="F32" s="16">
        <v>11125.31</v>
      </c>
      <c r="G32" s="15" t="s">
        <v>18</v>
      </c>
      <c r="H32" s="15" t="s">
        <v>19</v>
      </c>
      <c r="I32" s="15" t="s">
        <v>80</v>
      </c>
      <c r="J32" s="15" t="s">
        <v>83</v>
      </c>
    </row>
    <row r="33" spans="1:10" ht="17.25">
      <c r="A33" s="14">
        <v>45884</v>
      </c>
      <c r="B33" s="15" t="s">
        <v>37</v>
      </c>
      <c r="C33" s="15" t="s">
        <v>38</v>
      </c>
      <c r="D33" s="15" t="s">
        <v>84</v>
      </c>
      <c r="E33" s="15" t="s">
        <v>40</v>
      </c>
      <c r="F33" s="16">
        <v>716.49</v>
      </c>
      <c r="G33" s="15" t="s">
        <v>78</v>
      </c>
      <c r="H33" s="15" t="s">
        <v>25</v>
      </c>
      <c r="I33" s="15" t="s">
        <v>75</v>
      </c>
      <c r="J33" s="15" t="s">
        <v>74</v>
      </c>
    </row>
    <row r="34" spans="1:10" ht="17.25">
      <c r="A34" s="14">
        <v>45884</v>
      </c>
      <c r="B34" s="15" t="s">
        <v>37</v>
      </c>
      <c r="C34" s="15" t="s">
        <v>38</v>
      </c>
      <c r="D34" s="15" t="s">
        <v>84</v>
      </c>
      <c r="E34" s="15" t="s">
        <v>40</v>
      </c>
      <c r="F34" s="16">
        <v>4151.7</v>
      </c>
      <c r="G34" s="15" t="s">
        <v>24</v>
      </c>
      <c r="H34" s="15" t="s">
        <v>25</v>
      </c>
      <c r="I34" s="15" t="s">
        <v>75</v>
      </c>
      <c r="J34" s="15" t="s">
        <v>74</v>
      </c>
    </row>
    <row r="35" spans="1:10" ht="17.25">
      <c r="A35" s="14">
        <v>45874</v>
      </c>
      <c r="B35" s="15" t="s">
        <v>37</v>
      </c>
      <c r="C35" s="15" t="s">
        <v>38</v>
      </c>
      <c r="D35" s="15" t="s">
        <v>84</v>
      </c>
      <c r="E35" s="15" t="s">
        <v>40</v>
      </c>
      <c r="F35" s="16">
        <v>9805.7199999999993</v>
      </c>
      <c r="G35" s="15" t="s">
        <v>78</v>
      </c>
      <c r="H35" s="15" t="s">
        <v>25</v>
      </c>
      <c r="I35" s="15" t="s">
        <v>75</v>
      </c>
      <c r="J35" s="15" t="s">
        <v>74</v>
      </c>
    </row>
    <row r="36" spans="1:10" ht="17.25">
      <c r="A36" s="14">
        <v>45868</v>
      </c>
      <c r="B36" s="15" t="s">
        <v>37</v>
      </c>
      <c r="C36" s="15" t="s">
        <v>38</v>
      </c>
      <c r="D36" s="15" t="s">
        <v>84</v>
      </c>
      <c r="E36" s="15" t="s">
        <v>40</v>
      </c>
      <c r="F36" s="16">
        <v>14234.44</v>
      </c>
      <c r="G36" s="15" t="s">
        <v>24</v>
      </c>
      <c r="H36" s="15" t="s">
        <v>25</v>
      </c>
      <c r="I36" s="15" t="s">
        <v>75</v>
      </c>
      <c r="J36" s="15" t="s">
        <v>74</v>
      </c>
    </row>
    <row r="37" spans="1:10" ht="17.25">
      <c r="A37" s="14">
        <v>45824</v>
      </c>
      <c r="B37" s="15" t="s">
        <v>37</v>
      </c>
      <c r="C37" s="15" t="s">
        <v>38</v>
      </c>
      <c r="D37" s="15" t="s">
        <v>84</v>
      </c>
      <c r="E37" s="15" t="s">
        <v>40</v>
      </c>
      <c r="F37" s="16" t="s">
        <v>151</v>
      </c>
      <c r="G37" s="15" t="s">
        <v>78</v>
      </c>
      <c r="H37" s="15" t="s">
        <v>25</v>
      </c>
      <c r="I37" s="15" t="s">
        <v>75</v>
      </c>
      <c r="J37" s="15" t="s">
        <v>74</v>
      </c>
    </row>
    <row r="38" spans="1:10" ht="17.25">
      <c r="A38" s="14">
        <v>45885</v>
      </c>
      <c r="B38" s="15" t="s">
        <v>37</v>
      </c>
      <c r="C38" s="15" t="s">
        <v>87</v>
      </c>
      <c r="D38" s="15" t="s">
        <v>88</v>
      </c>
      <c r="E38" s="15" t="s">
        <v>40</v>
      </c>
      <c r="F38" s="16">
        <v>3466.83</v>
      </c>
      <c r="G38" s="15" t="s">
        <v>89</v>
      </c>
      <c r="H38" s="15" t="s">
        <v>19</v>
      </c>
      <c r="I38" s="15" t="s">
        <v>80</v>
      </c>
      <c r="J38" s="15" t="s">
        <v>83</v>
      </c>
    </row>
    <row r="39" spans="1:10" ht="17.25">
      <c r="A39" s="14">
        <v>45884</v>
      </c>
      <c r="B39" s="15" t="s">
        <v>37</v>
      </c>
      <c r="C39" s="15" t="s">
        <v>87</v>
      </c>
      <c r="D39" s="15" t="s">
        <v>88</v>
      </c>
      <c r="E39" s="15" t="s">
        <v>40</v>
      </c>
      <c r="F39" s="16">
        <v>4859.7299999999996</v>
      </c>
      <c r="G39" s="15" t="s">
        <v>24</v>
      </c>
      <c r="H39" s="15" t="s">
        <v>19</v>
      </c>
      <c r="I39" s="15" t="s">
        <v>80</v>
      </c>
      <c r="J39" s="15" t="s">
        <v>83</v>
      </c>
    </row>
    <row r="40" spans="1:10" ht="17.25">
      <c r="A40" s="14">
        <v>45865</v>
      </c>
      <c r="B40" s="15" t="s">
        <v>37</v>
      </c>
      <c r="C40" s="15" t="s">
        <v>87</v>
      </c>
      <c r="D40" s="15" t="s">
        <v>88</v>
      </c>
      <c r="E40" s="15" t="s">
        <v>40</v>
      </c>
      <c r="F40" s="16">
        <v>5505.91</v>
      </c>
      <c r="G40" s="15" t="s">
        <v>18</v>
      </c>
      <c r="H40" s="15" t="s">
        <v>19</v>
      </c>
      <c r="I40" s="15" t="s">
        <v>80</v>
      </c>
      <c r="J40" s="15" t="s">
        <v>83</v>
      </c>
    </row>
    <row r="41" spans="1:10" ht="17.25">
      <c r="A41" s="14">
        <v>45853</v>
      </c>
      <c r="B41" s="15" t="s">
        <v>37</v>
      </c>
      <c r="C41" s="15" t="s">
        <v>87</v>
      </c>
      <c r="D41" s="15" t="s">
        <v>88</v>
      </c>
      <c r="E41" s="15" t="s">
        <v>40</v>
      </c>
      <c r="F41" s="16">
        <v>9420.74</v>
      </c>
      <c r="G41" s="15" t="s">
        <v>24</v>
      </c>
      <c r="H41" s="15" t="s">
        <v>19</v>
      </c>
      <c r="I41" s="15" t="s">
        <v>80</v>
      </c>
      <c r="J41" s="15" t="s">
        <v>83</v>
      </c>
    </row>
  </sheetData>
  <sortState xmlns:xlrd2="http://schemas.microsoft.com/office/spreadsheetml/2017/richdata2" ref="A12:J30">
    <sortCondition ref="C12:C30"/>
    <sortCondition ref="F12:F30"/>
  </sortState>
  <mergeCells count="8">
    <mergeCell ref="G9:H9"/>
    <mergeCell ref="G8:H8"/>
    <mergeCell ref="F1:H1"/>
    <mergeCell ref="G3:H3"/>
    <mergeCell ref="G4:H4"/>
    <mergeCell ref="G5:H5"/>
    <mergeCell ref="G6:H6"/>
    <mergeCell ref="G7:H7"/>
  </mergeCells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74072-905D-4256-BB62-98DA2A1E0977}">
  <dimension ref="A11:O41"/>
  <sheetViews>
    <sheetView topLeftCell="F1" zoomScale="101" zoomScaleNormal="160" workbookViewId="0">
      <selection activeCell="N16" sqref="N16:O16"/>
    </sheetView>
  </sheetViews>
  <sheetFormatPr baseColWidth="10" defaultRowHeight="14.25"/>
  <cols>
    <col min="3" max="3" width="26.375" bestFit="1" customWidth="1"/>
    <col min="4" max="4" width="34.5" customWidth="1"/>
    <col min="5" max="5" width="17.625" customWidth="1"/>
    <col min="8" max="8" width="13.875" customWidth="1"/>
    <col min="9" max="9" width="14.5" customWidth="1"/>
    <col min="10" max="10" width="12.125" bestFit="1" customWidth="1"/>
    <col min="13" max="13" width="44.375" customWidth="1"/>
  </cols>
  <sheetData>
    <row r="11" spans="1:15" ht="63" customHeight="1">
      <c r="A11" s="9" t="s">
        <v>0</v>
      </c>
      <c r="B11" s="10" t="s">
        <v>9</v>
      </c>
      <c r="C11" s="10" t="s">
        <v>8</v>
      </c>
      <c r="D11" s="10" t="s">
        <v>7</v>
      </c>
      <c r="E11" s="10" t="s">
        <v>6</v>
      </c>
      <c r="F11" s="10" t="s">
        <v>5</v>
      </c>
      <c r="G11" s="10" t="s">
        <v>4</v>
      </c>
      <c r="H11" s="10" t="s">
        <v>3</v>
      </c>
      <c r="I11" s="10" t="s">
        <v>2</v>
      </c>
      <c r="J11" s="10" t="s">
        <v>1</v>
      </c>
      <c r="M11" s="20" t="s">
        <v>95</v>
      </c>
      <c r="N11" s="20"/>
      <c r="O11" s="20"/>
    </row>
    <row r="12" spans="1:15" ht="16.5">
      <c r="A12" s="8" t="s">
        <v>99</v>
      </c>
      <c r="B12" s="8" t="s">
        <v>27</v>
      </c>
      <c r="C12" s="8" t="s">
        <v>100</v>
      </c>
      <c r="D12" s="8" t="s">
        <v>101</v>
      </c>
      <c r="E12" s="8" t="s">
        <v>17</v>
      </c>
      <c r="F12" s="8">
        <v>7474.19</v>
      </c>
      <c r="G12" s="8" t="s">
        <v>102</v>
      </c>
      <c r="H12" s="8" t="s">
        <v>25</v>
      </c>
      <c r="I12" s="8" t="s">
        <v>72</v>
      </c>
      <c r="J12" s="8" t="s">
        <v>73</v>
      </c>
    </row>
    <row r="13" spans="1:15" ht="16.5">
      <c r="A13" s="8" t="s">
        <v>103</v>
      </c>
      <c r="B13" s="8" t="s">
        <v>21</v>
      </c>
      <c r="C13" s="8" t="s">
        <v>104</v>
      </c>
      <c r="D13" s="8" t="s">
        <v>105</v>
      </c>
      <c r="E13" s="8" t="s">
        <v>17</v>
      </c>
      <c r="F13" s="8">
        <v>5180.5200000000004</v>
      </c>
      <c r="G13" s="8" t="s">
        <v>102</v>
      </c>
      <c r="H13" s="8" t="s">
        <v>19</v>
      </c>
      <c r="I13" s="8" t="s">
        <v>72</v>
      </c>
      <c r="J13" s="8" t="s">
        <v>74</v>
      </c>
      <c r="M13" s="13" t="s">
        <v>96</v>
      </c>
      <c r="N13" s="18">
        <f>SUM(F12:F31)</f>
        <v>81268.929999999978</v>
      </c>
      <c r="O13" s="18"/>
    </row>
    <row r="14" spans="1:15" ht="16.5">
      <c r="A14" s="8" t="s">
        <v>106</v>
      </c>
      <c r="B14" s="8" t="s">
        <v>107</v>
      </c>
      <c r="C14" s="8" t="s">
        <v>108</v>
      </c>
      <c r="D14" s="8" t="s">
        <v>109</v>
      </c>
      <c r="E14" s="8" t="s">
        <v>17</v>
      </c>
      <c r="F14" s="8" t="s">
        <v>153</v>
      </c>
      <c r="G14" s="8" t="s">
        <v>18</v>
      </c>
      <c r="H14" s="8" t="s">
        <v>25</v>
      </c>
      <c r="I14" s="8" t="s">
        <v>75</v>
      </c>
      <c r="J14" s="8" t="s">
        <v>74</v>
      </c>
      <c r="M14" s="13" t="s">
        <v>97</v>
      </c>
      <c r="N14" s="18">
        <f>AVERAGE(F12:F31)</f>
        <v>4514.9405555555541</v>
      </c>
      <c r="O14" s="18"/>
    </row>
    <row r="15" spans="1:15" ht="16.5">
      <c r="A15" s="8" t="s">
        <v>110</v>
      </c>
      <c r="B15" s="8" t="s">
        <v>45</v>
      </c>
      <c r="C15" s="8" t="s">
        <v>111</v>
      </c>
      <c r="D15" s="8" t="s">
        <v>112</v>
      </c>
      <c r="E15" s="8" t="s">
        <v>17</v>
      </c>
      <c r="F15" s="8">
        <v>7026.99</v>
      </c>
      <c r="G15" s="8" t="s">
        <v>18</v>
      </c>
      <c r="H15" s="8" t="s">
        <v>19</v>
      </c>
      <c r="I15" s="8" t="s">
        <v>72</v>
      </c>
      <c r="J15" s="8" t="s">
        <v>74</v>
      </c>
      <c r="M15" s="13" t="s">
        <v>149</v>
      </c>
      <c r="N15" s="18">
        <f>MAX(F12:F31)</f>
        <v>7746.77</v>
      </c>
      <c r="O15" s="18"/>
    </row>
    <row r="16" spans="1:15" ht="16.5">
      <c r="A16" s="8" t="s">
        <v>113</v>
      </c>
      <c r="B16" s="8" t="s">
        <v>33</v>
      </c>
      <c r="C16" s="8" t="s">
        <v>114</v>
      </c>
      <c r="D16" s="8" t="s">
        <v>115</v>
      </c>
      <c r="E16" s="8" t="s">
        <v>17</v>
      </c>
      <c r="F16" s="8">
        <v>2499.4</v>
      </c>
      <c r="G16" s="8" t="s">
        <v>24</v>
      </c>
      <c r="H16" s="8" t="s">
        <v>19</v>
      </c>
      <c r="I16" s="8" t="s">
        <v>72</v>
      </c>
      <c r="J16" s="8" t="s">
        <v>73</v>
      </c>
      <c r="M16" s="13" t="s">
        <v>98</v>
      </c>
      <c r="N16" s="22">
        <f>MIN(F12:F31)</f>
        <v>976.7</v>
      </c>
      <c r="O16" s="22"/>
    </row>
    <row r="17" spans="1:15" ht="16.5">
      <c r="A17" s="8" t="s">
        <v>116</v>
      </c>
      <c r="B17" s="8" t="s">
        <v>27</v>
      </c>
      <c r="C17" s="8" t="s">
        <v>100</v>
      </c>
      <c r="D17" s="8" t="s">
        <v>117</v>
      </c>
      <c r="E17" s="8" t="s">
        <v>17</v>
      </c>
      <c r="F17" s="8">
        <v>2189.88</v>
      </c>
      <c r="G17" s="8" t="s">
        <v>24</v>
      </c>
      <c r="H17" s="8" t="s">
        <v>25</v>
      </c>
      <c r="I17" s="8" t="s">
        <v>72</v>
      </c>
      <c r="J17" s="8" t="s">
        <v>74</v>
      </c>
      <c r="M17" s="13" t="s">
        <v>93</v>
      </c>
      <c r="N17" s="18">
        <f>COUNT(F12:F31)</f>
        <v>18</v>
      </c>
      <c r="O17" s="18"/>
    </row>
    <row r="18" spans="1:15" ht="16.5">
      <c r="A18" s="8" t="s">
        <v>103</v>
      </c>
      <c r="B18" s="8" t="s">
        <v>107</v>
      </c>
      <c r="C18" s="8" t="s">
        <v>118</v>
      </c>
      <c r="D18" s="8" t="s">
        <v>119</v>
      </c>
      <c r="E18" s="8" t="s">
        <v>17</v>
      </c>
      <c r="F18" s="8">
        <v>7019.59</v>
      </c>
      <c r="G18" s="8" t="s">
        <v>24</v>
      </c>
      <c r="H18" s="8" t="s">
        <v>19</v>
      </c>
      <c r="I18" s="8" t="s">
        <v>72</v>
      </c>
      <c r="J18" s="8" t="s">
        <v>73</v>
      </c>
      <c r="M18" s="13" t="s">
        <v>148</v>
      </c>
      <c r="N18" s="18">
        <f>COUNTA(F12:F31) - COUNT(F12:F31)</f>
        <v>2</v>
      </c>
      <c r="O18" s="18"/>
    </row>
    <row r="19" spans="1:15" ht="16.5">
      <c r="A19" s="8" t="s">
        <v>120</v>
      </c>
      <c r="B19" s="8" t="s">
        <v>45</v>
      </c>
      <c r="C19" s="8" t="s">
        <v>55</v>
      </c>
      <c r="D19" s="8" t="s">
        <v>121</v>
      </c>
      <c r="E19" s="8" t="s">
        <v>17</v>
      </c>
      <c r="F19" s="8">
        <v>3518.29</v>
      </c>
      <c r="G19" s="8" t="s">
        <v>41</v>
      </c>
      <c r="H19" s="8" t="s">
        <v>19</v>
      </c>
      <c r="I19" s="8" t="s">
        <v>75</v>
      </c>
      <c r="J19" s="8" t="s">
        <v>73</v>
      </c>
    </row>
    <row r="20" spans="1:15" ht="16.5">
      <c r="A20" s="8" t="s">
        <v>122</v>
      </c>
      <c r="B20" s="8" t="s">
        <v>107</v>
      </c>
      <c r="C20" s="8" t="s">
        <v>108</v>
      </c>
      <c r="D20" s="8" t="s">
        <v>123</v>
      </c>
      <c r="E20" s="8" t="s">
        <v>17</v>
      </c>
      <c r="F20" s="8">
        <v>1319.88</v>
      </c>
      <c r="G20" s="8" t="s">
        <v>102</v>
      </c>
      <c r="H20" s="8" t="s">
        <v>19</v>
      </c>
      <c r="I20" s="8" t="s">
        <v>75</v>
      </c>
      <c r="J20" s="8" t="s">
        <v>73</v>
      </c>
    </row>
    <row r="21" spans="1:15" ht="16.5">
      <c r="A21" s="8" t="s">
        <v>124</v>
      </c>
      <c r="B21" s="8" t="s">
        <v>125</v>
      </c>
      <c r="C21" s="8" t="s">
        <v>126</v>
      </c>
      <c r="D21" s="8" t="s">
        <v>127</v>
      </c>
      <c r="E21" s="8" t="s">
        <v>17</v>
      </c>
      <c r="F21" s="24" t="s">
        <v>151</v>
      </c>
      <c r="G21" s="8" t="s">
        <v>102</v>
      </c>
      <c r="H21" s="8" t="s">
        <v>19</v>
      </c>
      <c r="I21" s="8" t="s">
        <v>75</v>
      </c>
      <c r="J21" s="8" t="s">
        <v>73</v>
      </c>
    </row>
    <row r="22" spans="1:15" ht="16.5">
      <c r="A22" s="8" t="s">
        <v>128</v>
      </c>
      <c r="B22" s="8" t="s">
        <v>129</v>
      </c>
      <c r="C22" s="8" t="s">
        <v>130</v>
      </c>
      <c r="D22" s="8" t="s">
        <v>131</v>
      </c>
      <c r="E22" s="8" t="s">
        <v>17</v>
      </c>
      <c r="F22" s="8">
        <v>4758.1899999999996</v>
      </c>
      <c r="G22" s="8" t="s">
        <v>102</v>
      </c>
      <c r="H22" s="8" t="s">
        <v>19</v>
      </c>
      <c r="I22" s="8" t="s">
        <v>75</v>
      </c>
      <c r="J22" s="8" t="s">
        <v>73</v>
      </c>
    </row>
    <row r="23" spans="1:15" ht="16.5">
      <c r="A23" s="8" t="s">
        <v>132</v>
      </c>
      <c r="B23" s="8" t="s">
        <v>45</v>
      </c>
      <c r="C23" s="8" t="s">
        <v>46</v>
      </c>
      <c r="D23" s="8" t="s">
        <v>133</v>
      </c>
      <c r="E23" s="8" t="s">
        <v>17</v>
      </c>
      <c r="F23" s="8">
        <v>7746.77</v>
      </c>
      <c r="G23" s="8" t="s">
        <v>41</v>
      </c>
      <c r="H23" s="8" t="s">
        <v>19</v>
      </c>
      <c r="I23" s="8" t="s">
        <v>72</v>
      </c>
      <c r="J23" s="8" t="s">
        <v>74</v>
      </c>
    </row>
    <row r="24" spans="1:15" ht="16.5">
      <c r="A24" s="8" t="s">
        <v>134</v>
      </c>
      <c r="B24" s="8" t="s">
        <v>129</v>
      </c>
      <c r="C24" s="8" t="s">
        <v>130</v>
      </c>
      <c r="D24" s="8" t="s">
        <v>131</v>
      </c>
      <c r="E24" s="8" t="s">
        <v>17</v>
      </c>
      <c r="F24" s="8">
        <v>1171.22</v>
      </c>
      <c r="G24" s="8" t="s">
        <v>24</v>
      </c>
      <c r="H24" s="8" t="s">
        <v>25</v>
      </c>
      <c r="I24" s="8" t="s">
        <v>72</v>
      </c>
      <c r="J24" s="8" t="s">
        <v>73</v>
      </c>
    </row>
    <row r="25" spans="1:15" ht="16.5">
      <c r="A25" s="8" t="s">
        <v>135</v>
      </c>
      <c r="B25" s="8" t="s">
        <v>33</v>
      </c>
      <c r="C25" s="8" t="s">
        <v>136</v>
      </c>
      <c r="D25" s="8" t="s">
        <v>137</v>
      </c>
      <c r="E25" s="8" t="s">
        <v>17</v>
      </c>
      <c r="F25" s="8">
        <v>4982.13</v>
      </c>
      <c r="G25" s="8" t="s">
        <v>102</v>
      </c>
      <c r="H25" s="8" t="s">
        <v>25</v>
      </c>
      <c r="I25" s="8" t="s">
        <v>75</v>
      </c>
      <c r="J25" s="8" t="s">
        <v>74</v>
      </c>
    </row>
    <row r="26" spans="1:15" ht="16.5">
      <c r="A26" s="8" t="s">
        <v>138</v>
      </c>
      <c r="B26" s="8" t="s">
        <v>129</v>
      </c>
      <c r="C26" s="8" t="s">
        <v>61</v>
      </c>
      <c r="D26" s="8" t="s">
        <v>139</v>
      </c>
      <c r="E26" s="8" t="s">
        <v>17</v>
      </c>
      <c r="F26" s="8">
        <v>5848.13</v>
      </c>
      <c r="G26" s="8" t="s">
        <v>18</v>
      </c>
      <c r="H26" s="8" t="s">
        <v>25</v>
      </c>
      <c r="I26" s="8" t="s">
        <v>72</v>
      </c>
      <c r="J26" s="8" t="s">
        <v>74</v>
      </c>
    </row>
    <row r="27" spans="1:15" ht="16.5">
      <c r="A27" s="8" t="s">
        <v>140</v>
      </c>
      <c r="B27" s="8" t="s">
        <v>125</v>
      </c>
      <c r="C27" s="8" t="s">
        <v>126</v>
      </c>
      <c r="D27" s="8" t="s">
        <v>141</v>
      </c>
      <c r="E27" s="8" t="s">
        <v>17</v>
      </c>
      <c r="F27" s="8">
        <v>5414.75</v>
      </c>
      <c r="G27" s="8" t="s">
        <v>18</v>
      </c>
      <c r="H27" s="8" t="s">
        <v>25</v>
      </c>
      <c r="I27" s="8" t="s">
        <v>75</v>
      </c>
      <c r="J27" s="8" t="s">
        <v>74</v>
      </c>
    </row>
    <row r="28" spans="1:15" ht="16.5">
      <c r="A28" s="8" t="s">
        <v>142</v>
      </c>
      <c r="B28" s="8" t="s">
        <v>33</v>
      </c>
      <c r="C28" s="8" t="s">
        <v>114</v>
      </c>
      <c r="D28" s="8" t="s">
        <v>115</v>
      </c>
      <c r="E28" s="8" t="s">
        <v>17</v>
      </c>
      <c r="F28" s="8">
        <v>4617.45</v>
      </c>
      <c r="G28" s="8" t="s">
        <v>102</v>
      </c>
      <c r="H28" s="8" t="s">
        <v>19</v>
      </c>
      <c r="I28" s="8" t="s">
        <v>72</v>
      </c>
      <c r="J28" s="8" t="s">
        <v>73</v>
      </c>
    </row>
    <row r="29" spans="1:15" ht="16.5">
      <c r="A29" s="8" t="s">
        <v>142</v>
      </c>
      <c r="B29" s="8" t="s">
        <v>27</v>
      </c>
      <c r="C29" s="8" t="s">
        <v>28</v>
      </c>
      <c r="D29" s="8" t="s">
        <v>143</v>
      </c>
      <c r="E29" s="8" t="s">
        <v>17</v>
      </c>
      <c r="F29" s="8">
        <v>5595.98</v>
      </c>
      <c r="G29" s="8" t="s">
        <v>102</v>
      </c>
      <c r="H29" s="8" t="s">
        <v>19</v>
      </c>
      <c r="I29" s="8" t="s">
        <v>72</v>
      </c>
      <c r="J29" s="8" t="s">
        <v>73</v>
      </c>
    </row>
    <row r="30" spans="1:15" ht="16.5">
      <c r="A30" s="8" t="s">
        <v>144</v>
      </c>
      <c r="B30" s="8" t="s">
        <v>129</v>
      </c>
      <c r="C30" s="8" t="s">
        <v>61</v>
      </c>
      <c r="D30" s="8" t="s">
        <v>145</v>
      </c>
      <c r="E30" s="8" t="s">
        <v>17</v>
      </c>
      <c r="F30" s="8">
        <v>3928.87</v>
      </c>
      <c r="G30" s="8" t="s">
        <v>102</v>
      </c>
      <c r="H30" s="8" t="s">
        <v>25</v>
      </c>
      <c r="I30" s="8" t="s">
        <v>72</v>
      </c>
      <c r="J30" s="8" t="s">
        <v>74</v>
      </c>
    </row>
    <row r="31" spans="1:15" ht="16.5">
      <c r="A31" s="8" t="s">
        <v>132</v>
      </c>
      <c r="B31" s="8" t="s">
        <v>129</v>
      </c>
      <c r="C31" s="8" t="s">
        <v>146</v>
      </c>
      <c r="D31" s="8" t="s">
        <v>147</v>
      </c>
      <c r="E31" s="8" t="s">
        <v>17</v>
      </c>
      <c r="F31" s="8">
        <v>976.7</v>
      </c>
      <c r="G31" s="8" t="s">
        <v>24</v>
      </c>
      <c r="H31" s="8" t="s">
        <v>25</v>
      </c>
      <c r="I31" s="8" t="s">
        <v>72</v>
      </c>
      <c r="J31" s="8" t="s">
        <v>73</v>
      </c>
    </row>
    <row r="32" spans="1:15" ht="16.5">
      <c r="A32" s="7"/>
      <c r="B32" s="8"/>
      <c r="C32" s="8"/>
      <c r="D32" s="8"/>
      <c r="E32" s="8"/>
      <c r="F32" s="8"/>
      <c r="G32" s="8"/>
      <c r="H32" s="8"/>
      <c r="I32" s="8"/>
      <c r="J32" s="8"/>
    </row>
    <row r="33" spans="1:10" ht="16.5">
      <c r="A33" s="7"/>
      <c r="B33" s="8"/>
      <c r="C33" s="8"/>
      <c r="D33" s="8"/>
      <c r="E33" s="8"/>
      <c r="F33" s="8"/>
      <c r="G33" s="8"/>
      <c r="H33" s="8"/>
      <c r="I33" s="8"/>
      <c r="J33" s="8"/>
    </row>
    <row r="34" spans="1:10" ht="16.5">
      <c r="A34" s="7"/>
      <c r="B34" s="8"/>
      <c r="C34" s="8"/>
      <c r="D34" s="8"/>
      <c r="E34" s="8"/>
      <c r="F34" s="8"/>
      <c r="G34" s="8"/>
      <c r="H34" s="8"/>
      <c r="I34" s="8"/>
      <c r="J34" s="8"/>
    </row>
    <row r="35" spans="1:10" ht="16.5">
      <c r="A35" s="7"/>
      <c r="B35" s="8"/>
      <c r="C35" s="8"/>
      <c r="D35" s="8"/>
      <c r="E35" s="8"/>
      <c r="F35" s="8"/>
      <c r="G35" s="8"/>
      <c r="H35" s="8"/>
      <c r="I35" s="8"/>
      <c r="J35" s="8"/>
    </row>
    <row r="36" spans="1:10" ht="16.5">
      <c r="A36" s="7"/>
      <c r="B36" s="8"/>
      <c r="C36" s="8"/>
      <c r="D36" s="8"/>
      <c r="E36" s="8"/>
      <c r="F36" s="8"/>
      <c r="G36" s="8"/>
      <c r="H36" s="8"/>
      <c r="I36" s="8"/>
      <c r="J36" s="8"/>
    </row>
    <row r="37" spans="1:10" ht="16.5">
      <c r="A37" s="7"/>
      <c r="B37" s="8"/>
      <c r="C37" s="8"/>
      <c r="D37" s="8"/>
      <c r="E37" s="8"/>
      <c r="F37" s="8"/>
      <c r="G37" s="8"/>
      <c r="H37" s="8"/>
      <c r="I37" s="8"/>
      <c r="J37" s="8"/>
    </row>
    <row r="38" spans="1:10" ht="16.5">
      <c r="A38" s="7"/>
      <c r="B38" s="8"/>
      <c r="C38" s="8"/>
      <c r="D38" s="8"/>
      <c r="E38" s="8"/>
      <c r="F38" s="8"/>
      <c r="G38" s="8"/>
      <c r="H38" s="8"/>
      <c r="I38" s="8"/>
      <c r="J38" s="8"/>
    </row>
    <row r="39" spans="1:10" ht="16.5">
      <c r="A39" s="7"/>
      <c r="B39" s="8"/>
      <c r="C39" s="8"/>
      <c r="D39" s="8"/>
      <c r="E39" s="8"/>
      <c r="F39" s="8"/>
      <c r="G39" s="8"/>
      <c r="H39" s="8"/>
      <c r="I39" s="8"/>
      <c r="J39" s="8"/>
    </row>
    <row r="40" spans="1:10" ht="16.5">
      <c r="A40" s="7"/>
      <c r="B40" s="8"/>
      <c r="C40" s="8"/>
      <c r="D40" s="8"/>
      <c r="E40" s="8"/>
      <c r="F40" s="8"/>
      <c r="G40" s="8"/>
      <c r="H40" s="8"/>
      <c r="I40" s="8"/>
      <c r="J40" s="8"/>
    </row>
    <row r="41" spans="1:10" ht="16.5">
      <c r="A41" s="7"/>
      <c r="B41" s="8"/>
      <c r="C41" s="8"/>
      <c r="D41" s="8"/>
      <c r="E41" s="8"/>
      <c r="F41" s="8"/>
      <c r="G41" s="8"/>
      <c r="H41" s="8"/>
      <c r="I41" s="8"/>
      <c r="J41" s="8"/>
    </row>
  </sheetData>
  <mergeCells count="7">
    <mergeCell ref="N18:O18"/>
    <mergeCell ref="M11:O11"/>
    <mergeCell ref="N13:O13"/>
    <mergeCell ref="N14:O14"/>
    <mergeCell ref="N15:O15"/>
    <mergeCell ref="N16:O16"/>
    <mergeCell ref="N17:O17"/>
  </mergeCells>
  <conditionalFormatting sqref="F12:F3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A0F6B-031B-4CE3-9C99-ECF0A4BFEBFB}">
  <sheetPr filterMode="1"/>
  <dimension ref="A4:L69"/>
  <sheetViews>
    <sheetView tabSelected="1" workbookViewId="0">
      <selection activeCell="L22" sqref="L22"/>
    </sheetView>
  </sheetViews>
  <sheetFormatPr baseColWidth="10" defaultRowHeight="14.25"/>
  <cols>
    <col min="1" max="1" width="15.25" style="4" customWidth="1"/>
    <col min="2" max="2" width="11.375" customWidth="1"/>
    <col min="3" max="3" width="14.625" customWidth="1"/>
    <col min="4" max="4" width="27.75" customWidth="1"/>
    <col min="5" max="5" width="8.375" customWidth="1"/>
    <col min="6" max="6" width="11.5" bestFit="1" customWidth="1"/>
    <col min="7" max="7" width="19.5" customWidth="1"/>
    <col min="9" max="9" width="16.5" customWidth="1"/>
    <col min="10" max="10" width="15.625" customWidth="1"/>
  </cols>
  <sheetData>
    <row r="4" spans="1:11" ht="15">
      <c r="J4" s="3">
        <v>1</v>
      </c>
      <c r="K4" s="2" t="s">
        <v>11</v>
      </c>
    </row>
    <row r="5" spans="1:11" ht="15">
      <c r="J5" s="3">
        <v>2</v>
      </c>
      <c r="K5" s="2" t="s">
        <v>10</v>
      </c>
    </row>
    <row r="6" spans="1:11" ht="15">
      <c r="J6" s="3">
        <v>3</v>
      </c>
      <c r="K6" s="2" t="s">
        <v>12</v>
      </c>
    </row>
    <row r="8" spans="1:11">
      <c r="J8" s="26"/>
    </row>
    <row r="11" spans="1:11">
      <c r="K11" s="1"/>
    </row>
    <row r="14" spans="1:11" ht="45.6" customHeight="1">
      <c r="A14" s="5" t="s">
        <v>0</v>
      </c>
      <c r="B14" s="6" t="s">
        <v>9</v>
      </c>
      <c r="C14" s="6" t="s">
        <v>8</v>
      </c>
      <c r="D14" s="6" t="s">
        <v>7</v>
      </c>
      <c r="E14" s="6" t="s">
        <v>6</v>
      </c>
      <c r="F14" s="6" t="s">
        <v>5</v>
      </c>
      <c r="G14" s="6" t="s">
        <v>4</v>
      </c>
      <c r="H14" s="6" t="s">
        <v>3</v>
      </c>
      <c r="I14" s="6" t="s">
        <v>2</v>
      </c>
      <c r="J14" s="6" t="s">
        <v>1</v>
      </c>
    </row>
    <row r="15" spans="1:11" ht="16.5">
      <c r="A15" s="7" t="s">
        <v>13</v>
      </c>
      <c r="B15" s="8" t="s">
        <v>14</v>
      </c>
      <c r="C15" s="8" t="s">
        <v>15</v>
      </c>
      <c r="D15" s="8" t="s">
        <v>16</v>
      </c>
      <c r="E15" s="8" t="s">
        <v>17</v>
      </c>
      <c r="F15" s="25">
        <v>2597.8000000000002</v>
      </c>
      <c r="G15" s="8" t="s">
        <v>18</v>
      </c>
      <c r="H15" s="8" t="s">
        <v>19</v>
      </c>
      <c r="I15" s="8" t="s">
        <v>72</v>
      </c>
      <c r="J15" s="8" t="s">
        <v>73</v>
      </c>
    </row>
    <row r="16" spans="1:11" ht="16.5">
      <c r="A16" s="7" t="s">
        <v>20</v>
      </c>
      <c r="B16" s="8" t="s">
        <v>21</v>
      </c>
      <c r="C16" s="8" t="s">
        <v>22</v>
      </c>
      <c r="D16" s="8" t="s">
        <v>23</v>
      </c>
      <c r="E16" s="8" t="s">
        <v>17</v>
      </c>
      <c r="F16" s="25">
        <v>7366.08</v>
      </c>
      <c r="G16" s="8" t="s">
        <v>24</v>
      </c>
      <c r="H16" s="8" t="s">
        <v>25</v>
      </c>
      <c r="I16" s="8" t="s">
        <v>72</v>
      </c>
      <c r="J16" s="8" t="s">
        <v>74</v>
      </c>
    </row>
    <row r="17" spans="1:12" ht="16.5">
      <c r="A17" s="7" t="s">
        <v>26</v>
      </c>
      <c r="B17" s="8" t="s">
        <v>27</v>
      </c>
      <c r="C17" s="8" t="s">
        <v>28</v>
      </c>
      <c r="D17" s="8" t="s">
        <v>29</v>
      </c>
      <c r="E17" s="8" t="s">
        <v>17</v>
      </c>
      <c r="F17" s="25">
        <v>3354.56</v>
      </c>
      <c r="G17" s="8" t="s">
        <v>18</v>
      </c>
      <c r="H17" s="8" t="s">
        <v>25</v>
      </c>
      <c r="I17" s="8" t="s">
        <v>72</v>
      </c>
      <c r="J17" s="8" t="s">
        <v>73</v>
      </c>
    </row>
    <row r="18" spans="1:12" ht="16.5">
      <c r="A18" s="7" t="s">
        <v>30</v>
      </c>
      <c r="B18" s="8" t="s">
        <v>14</v>
      </c>
      <c r="C18" s="8" t="s">
        <v>15</v>
      </c>
      <c r="D18" s="8" t="s">
        <v>16</v>
      </c>
      <c r="E18" s="8" t="s">
        <v>17</v>
      </c>
      <c r="F18" s="25">
        <v>187.73</v>
      </c>
      <c r="G18" s="8" t="s">
        <v>31</v>
      </c>
      <c r="H18" s="8" t="s">
        <v>19</v>
      </c>
      <c r="I18" s="8" t="s">
        <v>72</v>
      </c>
      <c r="J18" s="8" t="s">
        <v>74</v>
      </c>
    </row>
    <row r="19" spans="1:12" ht="16.5">
      <c r="A19" s="7" t="s">
        <v>32</v>
      </c>
      <c r="B19" s="8" t="s">
        <v>33</v>
      </c>
      <c r="C19" s="8" t="s">
        <v>34</v>
      </c>
      <c r="D19" s="8" t="s">
        <v>35</v>
      </c>
      <c r="E19" s="8" t="s">
        <v>17</v>
      </c>
      <c r="F19" s="25">
        <v>220.88</v>
      </c>
      <c r="G19" s="8" t="s">
        <v>24</v>
      </c>
      <c r="H19" s="8" t="s">
        <v>25</v>
      </c>
      <c r="I19" s="8" t="s">
        <v>72</v>
      </c>
      <c r="J19" s="8" t="s">
        <v>74</v>
      </c>
    </row>
    <row r="20" spans="1:12" ht="16.5" hidden="1">
      <c r="A20" s="7" t="s">
        <v>36</v>
      </c>
      <c r="B20" s="8" t="s">
        <v>37</v>
      </c>
      <c r="C20" s="8" t="s">
        <v>38</v>
      </c>
      <c r="D20" s="8" t="s">
        <v>39</v>
      </c>
      <c r="E20" s="8" t="s">
        <v>40</v>
      </c>
      <c r="F20" s="8">
        <v>13677.7</v>
      </c>
      <c r="G20" s="8" t="s">
        <v>41</v>
      </c>
      <c r="H20" s="8" t="s">
        <v>25</v>
      </c>
      <c r="I20" s="8" t="s">
        <v>75</v>
      </c>
      <c r="J20" s="8" t="s">
        <v>73</v>
      </c>
    </row>
    <row r="21" spans="1:12" ht="16.5">
      <c r="A21" s="7" t="s">
        <v>13</v>
      </c>
      <c r="B21" s="8" t="s">
        <v>14</v>
      </c>
      <c r="C21" s="8" t="s">
        <v>42</v>
      </c>
      <c r="D21" s="8" t="s">
        <v>43</v>
      </c>
      <c r="E21" s="8" t="s">
        <v>17</v>
      </c>
      <c r="F21" s="25">
        <v>4654.6499999999996</v>
      </c>
      <c r="G21" s="8" t="s">
        <v>41</v>
      </c>
      <c r="H21" s="8" t="s">
        <v>19</v>
      </c>
      <c r="I21" s="8" t="s">
        <v>72</v>
      </c>
      <c r="J21" s="8" t="s">
        <v>74</v>
      </c>
    </row>
    <row r="22" spans="1:12" ht="16.5">
      <c r="A22" s="7" t="s">
        <v>44</v>
      </c>
      <c r="B22" s="8" t="s">
        <v>45</v>
      </c>
      <c r="C22" s="8" t="s">
        <v>46</v>
      </c>
      <c r="D22" s="8" t="s">
        <v>47</v>
      </c>
      <c r="E22" s="8" t="s">
        <v>17</v>
      </c>
      <c r="F22" s="25">
        <v>4945.16</v>
      </c>
      <c r="G22" s="8" t="s">
        <v>18</v>
      </c>
      <c r="H22" s="8" t="s">
        <v>19</v>
      </c>
      <c r="I22" s="8" t="s">
        <v>75</v>
      </c>
      <c r="J22" s="8" t="s">
        <v>73</v>
      </c>
      <c r="L22" s="26"/>
    </row>
    <row r="23" spans="1:12" ht="16.5">
      <c r="A23" s="7" t="s">
        <v>48</v>
      </c>
      <c r="B23" s="8" t="s">
        <v>33</v>
      </c>
      <c r="C23" s="8" t="s">
        <v>34</v>
      </c>
      <c r="D23" s="8" t="s">
        <v>35</v>
      </c>
      <c r="E23" s="8" t="s">
        <v>17</v>
      </c>
      <c r="F23" s="25">
        <v>7973.49</v>
      </c>
      <c r="G23" s="8" t="s">
        <v>18</v>
      </c>
      <c r="H23" s="8" t="s">
        <v>19</v>
      </c>
      <c r="I23" s="8" t="s">
        <v>75</v>
      </c>
      <c r="J23" s="8" t="s">
        <v>74</v>
      </c>
    </row>
    <row r="24" spans="1:12" ht="16.5">
      <c r="A24" s="7" t="s">
        <v>26</v>
      </c>
      <c r="B24" s="8" t="s">
        <v>27</v>
      </c>
      <c r="C24" s="8" t="s">
        <v>28</v>
      </c>
      <c r="D24" s="8" t="s">
        <v>29</v>
      </c>
      <c r="E24" s="8" t="s">
        <v>17</v>
      </c>
      <c r="F24" s="25">
        <v>7006.06</v>
      </c>
      <c r="G24" s="8" t="s">
        <v>18</v>
      </c>
      <c r="H24" s="8" t="s">
        <v>19</v>
      </c>
      <c r="I24" s="8" t="s">
        <v>75</v>
      </c>
      <c r="J24" s="8" t="s">
        <v>74</v>
      </c>
    </row>
    <row r="25" spans="1:12" ht="16.5">
      <c r="A25" s="7" t="s">
        <v>49</v>
      </c>
      <c r="B25" s="8" t="s">
        <v>21</v>
      </c>
      <c r="C25" s="8" t="s">
        <v>22</v>
      </c>
      <c r="D25" s="8" t="s">
        <v>23</v>
      </c>
      <c r="E25" s="8" t="s">
        <v>17</v>
      </c>
      <c r="F25" s="25">
        <v>2915.05</v>
      </c>
      <c r="G25" s="8" t="s">
        <v>41</v>
      </c>
      <c r="H25" s="8" t="s">
        <v>19</v>
      </c>
      <c r="I25" s="8" t="s">
        <v>72</v>
      </c>
      <c r="J25" s="8" t="s">
        <v>73</v>
      </c>
    </row>
    <row r="26" spans="1:12" ht="16.5">
      <c r="A26" s="7" t="s">
        <v>20</v>
      </c>
      <c r="B26" s="8" t="s">
        <v>21</v>
      </c>
      <c r="C26" s="8" t="s">
        <v>22</v>
      </c>
      <c r="D26" s="8" t="s">
        <v>23</v>
      </c>
      <c r="E26" s="8" t="s">
        <v>17</v>
      </c>
      <c r="F26" s="25">
        <v>4465.3999999999996</v>
      </c>
      <c r="G26" s="8" t="s">
        <v>41</v>
      </c>
      <c r="H26" s="8" t="s">
        <v>19</v>
      </c>
      <c r="I26" s="8" t="s">
        <v>75</v>
      </c>
      <c r="J26" s="8" t="s">
        <v>73</v>
      </c>
    </row>
    <row r="27" spans="1:12" ht="16.5" hidden="1">
      <c r="A27" s="7" t="s">
        <v>50</v>
      </c>
      <c r="B27" s="8" t="s">
        <v>37</v>
      </c>
      <c r="C27" s="8" t="s">
        <v>51</v>
      </c>
      <c r="D27" s="8" t="s">
        <v>52</v>
      </c>
      <c r="E27" s="8" t="s">
        <v>40</v>
      </c>
      <c r="F27" s="8">
        <v>12697.22</v>
      </c>
      <c r="G27" s="8" t="s">
        <v>41</v>
      </c>
      <c r="H27" s="8" t="s">
        <v>19</v>
      </c>
      <c r="I27" s="8" t="s">
        <v>72</v>
      </c>
      <c r="J27" s="8" t="s">
        <v>73</v>
      </c>
    </row>
    <row r="28" spans="1:12" ht="16.5">
      <c r="A28" s="7" t="s">
        <v>53</v>
      </c>
      <c r="B28" s="8" t="s">
        <v>27</v>
      </c>
      <c r="C28" s="8" t="s">
        <v>28</v>
      </c>
      <c r="D28" s="8" t="s">
        <v>29</v>
      </c>
      <c r="E28" s="8" t="s">
        <v>17</v>
      </c>
      <c r="F28" s="25">
        <v>1285.24</v>
      </c>
      <c r="G28" s="8" t="s">
        <v>18</v>
      </c>
      <c r="H28" s="8" t="s">
        <v>19</v>
      </c>
      <c r="I28" s="8" t="s">
        <v>75</v>
      </c>
      <c r="J28" s="8" t="s">
        <v>73</v>
      </c>
    </row>
    <row r="29" spans="1:12" ht="16.5">
      <c r="A29" s="7" t="s">
        <v>54</v>
      </c>
      <c r="B29" s="8" t="s">
        <v>45</v>
      </c>
      <c r="C29" s="8" t="s">
        <v>55</v>
      </c>
      <c r="D29" s="8" t="s">
        <v>56</v>
      </c>
      <c r="E29" s="8" t="s">
        <v>17</v>
      </c>
      <c r="F29" s="25">
        <v>915.29</v>
      </c>
      <c r="G29" s="8" t="s">
        <v>24</v>
      </c>
      <c r="H29" s="8" t="s">
        <v>19</v>
      </c>
      <c r="I29" s="8" t="s">
        <v>72</v>
      </c>
      <c r="J29" s="8" t="s">
        <v>74</v>
      </c>
    </row>
    <row r="30" spans="1:12" ht="16.5">
      <c r="A30" s="7" t="s">
        <v>57</v>
      </c>
      <c r="B30" s="8" t="s">
        <v>27</v>
      </c>
      <c r="C30" s="8" t="s">
        <v>58</v>
      </c>
      <c r="D30" s="8" t="s">
        <v>59</v>
      </c>
      <c r="E30" s="8" t="s">
        <v>17</v>
      </c>
      <c r="F30" s="25">
        <v>1826.42</v>
      </c>
      <c r="G30" s="8" t="s">
        <v>24</v>
      </c>
      <c r="H30" s="8" t="s">
        <v>19</v>
      </c>
      <c r="I30" s="8" t="s">
        <v>72</v>
      </c>
      <c r="J30" s="8" t="s">
        <v>74</v>
      </c>
    </row>
    <row r="31" spans="1:12" ht="16.5">
      <c r="A31" s="7" t="s">
        <v>60</v>
      </c>
      <c r="B31" s="8" t="s">
        <v>14</v>
      </c>
      <c r="C31" s="8" t="s">
        <v>61</v>
      </c>
      <c r="D31" s="8" t="s">
        <v>62</v>
      </c>
      <c r="E31" s="8" t="s">
        <v>17</v>
      </c>
      <c r="F31" s="25">
        <v>3152.06</v>
      </c>
      <c r="G31" s="8" t="s">
        <v>18</v>
      </c>
      <c r="H31" s="8" t="s">
        <v>25</v>
      </c>
      <c r="I31" s="8" t="s">
        <v>72</v>
      </c>
      <c r="J31" s="8" t="s">
        <v>73</v>
      </c>
    </row>
    <row r="32" spans="1:12" ht="16.5">
      <c r="A32" s="7" t="s">
        <v>63</v>
      </c>
      <c r="B32" s="8" t="s">
        <v>33</v>
      </c>
      <c r="C32" s="8" t="s">
        <v>34</v>
      </c>
      <c r="D32" s="8" t="s">
        <v>35</v>
      </c>
      <c r="E32" s="8" t="s">
        <v>17</v>
      </c>
      <c r="F32" s="25">
        <v>4893.8999999999996</v>
      </c>
      <c r="G32" s="8" t="s">
        <v>41</v>
      </c>
      <c r="H32" s="8" t="s">
        <v>25</v>
      </c>
      <c r="I32" s="8" t="s">
        <v>72</v>
      </c>
      <c r="J32" s="8" t="s">
        <v>73</v>
      </c>
    </row>
    <row r="33" spans="1:10" ht="16.5">
      <c r="A33" s="7" t="s">
        <v>64</v>
      </c>
      <c r="B33" s="8" t="s">
        <v>27</v>
      </c>
      <c r="C33" s="8" t="s">
        <v>65</v>
      </c>
      <c r="D33" s="8" t="s">
        <v>66</v>
      </c>
      <c r="E33" s="8" t="s">
        <v>17</v>
      </c>
      <c r="F33" s="25">
        <v>2048.69</v>
      </c>
      <c r="G33" s="8" t="s">
        <v>31</v>
      </c>
      <c r="H33" s="8" t="s">
        <v>19</v>
      </c>
      <c r="I33" s="8" t="s">
        <v>72</v>
      </c>
      <c r="J33" s="8" t="s">
        <v>74</v>
      </c>
    </row>
    <row r="34" spans="1:10" ht="16.5">
      <c r="A34" s="7" t="s">
        <v>57</v>
      </c>
      <c r="B34" s="8" t="s">
        <v>33</v>
      </c>
      <c r="C34" s="8" t="s">
        <v>34</v>
      </c>
      <c r="D34" s="8" t="s">
        <v>35</v>
      </c>
      <c r="E34" s="8" t="s">
        <v>17</v>
      </c>
      <c r="F34" s="25">
        <v>7859.46</v>
      </c>
      <c r="G34" s="8" t="s">
        <v>24</v>
      </c>
      <c r="H34" s="8" t="s">
        <v>19</v>
      </c>
      <c r="I34" s="8" t="s">
        <v>72</v>
      </c>
      <c r="J34" s="8" t="s">
        <v>74</v>
      </c>
    </row>
    <row r="35" spans="1:10" ht="16.5" hidden="1">
      <c r="A35" s="7" t="s">
        <v>67</v>
      </c>
      <c r="B35" s="8" t="s">
        <v>37</v>
      </c>
      <c r="C35" s="8" t="s">
        <v>38</v>
      </c>
      <c r="D35" s="8" t="s">
        <v>39</v>
      </c>
      <c r="E35" s="8" t="s">
        <v>40</v>
      </c>
      <c r="F35" s="8">
        <v>14117.43</v>
      </c>
      <c r="G35" s="8" t="s">
        <v>31</v>
      </c>
      <c r="H35" s="8" t="s">
        <v>19</v>
      </c>
      <c r="I35" s="8" t="s">
        <v>75</v>
      </c>
      <c r="J35" s="8" t="s">
        <v>73</v>
      </c>
    </row>
    <row r="36" spans="1:10" ht="16.5">
      <c r="A36" s="7" t="s">
        <v>68</v>
      </c>
      <c r="B36" s="8" t="s">
        <v>45</v>
      </c>
      <c r="C36" s="8" t="s">
        <v>46</v>
      </c>
      <c r="D36" s="8" t="s">
        <v>47</v>
      </c>
      <c r="E36" s="8" t="s">
        <v>17</v>
      </c>
      <c r="F36" s="25">
        <v>3400.94</v>
      </c>
      <c r="G36" s="8" t="s">
        <v>18</v>
      </c>
      <c r="H36" s="8" t="s">
        <v>25</v>
      </c>
      <c r="I36" s="8" t="s">
        <v>72</v>
      </c>
      <c r="J36" s="8" t="s">
        <v>74</v>
      </c>
    </row>
    <row r="37" spans="1:10" ht="16.5">
      <c r="A37" s="7" t="s">
        <v>69</v>
      </c>
      <c r="B37" s="8" t="s">
        <v>45</v>
      </c>
      <c r="C37" s="8" t="s">
        <v>55</v>
      </c>
      <c r="D37" s="8" t="s">
        <v>56</v>
      </c>
      <c r="E37" s="8" t="s">
        <v>17</v>
      </c>
      <c r="F37" s="25">
        <v>3859.6</v>
      </c>
      <c r="G37" s="8" t="s">
        <v>18</v>
      </c>
      <c r="H37" s="8" t="s">
        <v>19</v>
      </c>
      <c r="I37" s="8" t="s">
        <v>72</v>
      </c>
      <c r="J37" s="8" t="s">
        <v>74</v>
      </c>
    </row>
    <row r="38" spans="1:10" ht="16.5" hidden="1">
      <c r="A38" s="7" t="s">
        <v>70</v>
      </c>
      <c r="B38" s="8" t="s">
        <v>37</v>
      </c>
      <c r="C38" s="8" t="s">
        <v>38</v>
      </c>
      <c r="D38" s="8" t="s">
        <v>39</v>
      </c>
      <c r="E38" s="8" t="s">
        <v>40</v>
      </c>
      <c r="F38" s="8">
        <v>15506.26</v>
      </c>
      <c r="G38" s="8" t="s">
        <v>18</v>
      </c>
      <c r="H38" s="8" t="s">
        <v>25</v>
      </c>
      <c r="I38" s="8" t="s">
        <v>75</v>
      </c>
      <c r="J38" s="8" t="s">
        <v>73</v>
      </c>
    </row>
    <row r="39" spans="1:10" ht="16.5">
      <c r="A39" s="7" t="s">
        <v>71</v>
      </c>
      <c r="B39" s="8" t="s">
        <v>27</v>
      </c>
      <c r="C39" s="8" t="s">
        <v>65</v>
      </c>
      <c r="D39" s="8" t="s">
        <v>66</v>
      </c>
      <c r="E39" s="8" t="s">
        <v>17</v>
      </c>
      <c r="F39" s="25">
        <v>7874.68</v>
      </c>
      <c r="G39" s="8" t="s">
        <v>31</v>
      </c>
      <c r="H39" s="8" t="s">
        <v>25</v>
      </c>
      <c r="I39" s="8" t="s">
        <v>72</v>
      </c>
      <c r="J39" s="8" t="s">
        <v>74</v>
      </c>
    </row>
    <row r="40" spans="1:10" ht="16.5" hidden="1">
      <c r="A40" s="7">
        <v>45447</v>
      </c>
      <c r="B40" s="8" t="s">
        <v>37</v>
      </c>
      <c r="C40" s="8" t="s">
        <v>76</v>
      </c>
      <c r="D40" s="8" t="s">
        <v>77</v>
      </c>
      <c r="E40" s="8" t="s">
        <v>40</v>
      </c>
      <c r="F40" s="8">
        <v>7114.39</v>
      </c>
      <c r="G40" s="8" t="s">
        <v>78</v>
      </c>
      <c r="H40" s="8" t="s">
        <v>19</v>
      </c>
      <c r="I40" s="8" t="s">
        <v>75</v>
      </c>
      <c r="J40" s="8" t="s">
        <v>74</v>
      </c>
    </row>
    <row r="41" spans="1:10" ht="16.5" hidden="1">
      <c r="A41" s="7">
        <v>45456</v>
      </c>
      <c r="B41" s="8" t="s">
        <v>37</v>
      </c>
      <c r="C41" s="8" t="s">
        <v>51</v>
      </c>
      <c r="D41" s="8" t="s">
        <v>79</v>
      </c>
      <c r="E41" s="8" t="s">
        <v>40</v>
      </c>
      <c r="F41" s="8">
        <v>6628.01</v>
      </c>
      <c r="G41" s="8" t="s">
        <v>78</v>
      </c>
      <c r="H41" s="8" t="s">
        <v>19</v>
      </c>
      <c r="I41" s="8" t="s">
        <v>80</v>
      </c>
      <c r="J41" s="8" t="s">
        <v>74</v>
      </c>
    </row>
    <row r="42" spans="1:10" ht="16.5" hidden="1">
      <c r="A42" s="7">
        <v>45456</v>
      </c>
      <c r="B42" s="8" t="s">
        <v>37</v>
      </c>
      <c r="C42" s="8" t="s">
        <v>81</v>
      </c>
      <c r="D42" s="8" t="s">
        <v>82</v>
      </c>
      <c r="E42" s="8" t="s">
        <v>40</v>
      </c>
      <c r="F42" s="8">
        <v>1530.69</v>
      </c>
      <c r="G42" s="8" t="s">
        <v>24</v>
      </c>
      <c r="H42" s="8" t="s">
        <v>19</v>
      </c>
      <c r="I42" s="8" t="s">
        <v>80</v>
      </c>
      <c r="J42" s="8" t="s">
        <v>83</v>
      </c>
    </row>
    <row r="43" spans="1:10" ht="16.5" hidden="1">
      <c r="A43" s="7">
        <v>45457</v>
      </c>
      <c r="B43" s="8" t="s">
        <v>37</v>
      </c>
      <c r="C43" s="8" t="s">
        <v>51</v>
      </c>
      <c r="D43" s="8" t="s">
        <v>79</v>
      </c>
      <c r="E43" s="8" t="s">
        <v>40</v>
      </c>
      <c r="F43" s="8">
        <v>8616.33</v>
      </c>
      <c r="G43" s="8" t="s">
        <v>18</v>
      </c>
      <c r="H43" s="8" t="s">
        <v>19</v>
      </c>
      <c r="I43" s="8" t="s">
        <v>80</v>
      </c>
      <c r="J43" s="8" t="s">
        <v>74</v>
      </c>
    </row>
    <row r="44" spans="1:10" ht="16.5" hidden="1">
      <c r="A44" s="7">
        <v>45459</v>
      </c>
      <c r="B44" s="8" t="s">
        <v>37</v>
      </c>
      <c r="C44" s="8" t="s">
        <v>38</v>
      </c>
      <c r="D44" s="8" t="s">
        <v>84</v>
      </c>
      <c r="E44" s="8" t="s">
        <v>40</v>
      </c>
      <c r="F44" s="8">
        <v>8792.85</v>
      </c>
      <c r="G44" s="8" t="s">
        <v>78</v>
      </c>
      <c r="H44" s="8" t="s">
        <v>25</v>
      </c>
      <c r="I44" s="8" t="s">
        <v>75</v>
      </c>
      <c r="J44" s="8" t="s">
        <v>74</v>
      </c>
    </row>
    <row r="45" spans="1:10" ht="16.5" hidden="1">
      <c r="A45" s="7">
        <v>45473</v>
      </c>
      <c r="B45" s="8" t="s">
        <v>37</v>
      </c>
      <c r="C45" s="8" t="s">
        <v>81</v>
      </c>
      <c r="D45" s="8" t="s">
        <v>82</v>
      </c>
      <c r="E45" s="8" t="s">
        <v>40</v>
      </c>
      <c r="F45" s="8">
        <v>3198.32</v>
      </c>
      <c r="G45" s="8" t="s">
        <v>24</v>
      </c>
      <c r="H45" s="8" t="s">
        <v>19</v>
      </c>
      <c r="I45" s="8" t="s">
        <v>80</v>
      </c>
      <c r="J45" s="8" t="s">
        <v>83</v>
      </c>
    </row>
    <row r="46" spans="1:10" ht="16.5" hidden="1">
      <c r="A46" s="7">
        <v>45476</v>
      </c>
      <c r="B46" s="8" t="s">
        <v>37</v>
      </c>
      <c r="C46" s="8" t="s">
        <v>51</v>
      </c>
      <c r="D46" s="8" t="s">
        <v>79</v>
      </c>
      <c r="E46" s="8" t="s">
        <v>40</v>
      </c>
      <c r="F46" s="8">
        <v>7141.86</v>
      </c>
      <c r="G46" s="8" t="s">
        <v>18</v>
      </c>
      <c r="H46" s="8" t="s">
        <v>19</v>
      </c>
      <c r="I46" s="8" t="s">
        <v>80</v>
      </c>
      <c r="J46" s="8" t="s">
        <v>74</v>
      </c>
    </row>
    <row r="47" spans="1:10" ht="16.5" hidden="1">
      <c r="A47" s="7">
        <v>45485</v>
      </c>
      <c r="B47" s="8" t="s">
        <v>37</v>
      </c>
      <c r="C47" s="8" t="s">
        <v>85</v>
      </c>
      <c r="D47" s="8" t="s">
        <v>86</v>
      </c>
      <c r="E47" s="8" t="s">
        <v>40</v>
      </c>
      <c r="F47" s="8">
        <v>8828.7900000000009</v>
      </c>
      <c r="G47" s="8" t="s">
        <v>18</v>
      </c>
      <c r="H47" s="8" t="s">
        <v>19</v>
      </c>
      <c r="I47" s="8" t="s">
        <v>80</v>
      </c>
      <c r="J47" s="8" t="s">
        <v>83</v>
      </c>
    </row>
    <row r="48" spans="1:10" ht="16.5" hidden="1">
      <c r="A48" s="7">
        <v>45488</v>
      </c>
      <c r="B48" s="8" t="s">
        <v>37</v>
      </c>
      <c r="C48" s="8" t="s">
        <v>87</v>
      </c>
      <c r="D48" s="8" t="s">
        <v>88</v>
      </c>
      <c r="E48" s="8" t="s">
        <v>40</v>
      </c>
      <c r="F48" s="8">
        <v>9420.74</v>
      </c>
      <c r="G48" s="8" t="s">
        <v>24</v>
      </c>
      <c r="H48" s="8" t="s">
        <v>19</v>
      </c>
      <c r="I48" s="8" t="s">
        <v>80</v>
      </c>
      <c r="J48" s="8" t="s">
        <v>83</v>
      </c>
    </row>
    <row r="49" spans="1:10" ht="16.5" hidden="1">
      <c r="A49" s="7">
        <v>45489</v>
      </c>
      <c r="B49" s="8" t="s">
        <v>37</v>
      </c>
      <c r="C49" s="8" t="s">
        <v>81</v>
      </c>
      <c r="D49" s="8" t="s">
        <v>82</v>
      </c>
      <c r="E49" s="8" t="s">
        <v>40</v>
      </c>
      <c r="F49" s="8">
        <v>2635.97</v>
      </c>
      <c r="G49" s="8" t="s">
        <v>18</v>
      </c>
      <c r="H49" s="8" t="s">
        <v>19</v>
      </c>
      <c r="I49" s="8" t="s">
        <v>80</v>
      </c>
      <c r="J49" s="8" t="s">
        <v>83</v>
      </c>
    </row>
    <row r="50" spans="1:10" ht="16.5" hidden="1">
      <c r="A50" s="7">
        <v>45500</v>
      </c>
      <c r="B50" s="8" t="s">
        <v>37</v>
      </c>
      <c r="C50" s="8" t="s">
        <v>87</v>
      </c>
      <c r="D50" s="8" t="s">
        <v>88</v>
      </c>
      <c r="E50" s="8" t="s">
        <v>40</v>
      </c>
      <c r="F50" s="8">
        <v>5505.91</v>
      </c>
      <c r="G50" s="8" t="s">
        <v>18</v>
      </c>
      <c r="H50" s="8" t="s">
        <v>19</v>
      </c>
      <c r="I50" s="8" t="s">
        <v>80</v>
      </c>
      <c r="J50" s="8" t="s">
        <v>83</v>
      </c>
    </row>
    <row r="51" spans="1:10" ht="16.5" hidden="1">
      <c r="A51" s="7">
        <v>45500</v>
      </c>
      <c r="B51" s="8" t="s">
        <v>37</v>
      </c>
      <c r="C51" s="8" t="s">
        <v>85</v>
      </c>
      <c r="D51" s="8" t="s">
        <v>86</v>
      </c>
      <c r="E51" s="8" t="s">
        <v>40</v>
      </c>
      <c r="F51" s="8">
        <v>4709.33</v>
      </c>
      <c r="G51" s="8" t="s">
        <v>78</v>
      </c>
      <c r="H51" s="8" t="s">
        <v>19</v>
      </c>
      <c r="I51" s="8" t="s">
        <v>80</v>
      </c>
      <c r="J51" s="8" t="s">
        <v>83</v>
      </c>
    </row>
    <row r="52" spans="1:10" ht="16.5" hidden="1">
      <c r="A52" s="7">
        <v>45501</v>
      </c>
      <c r="B52" s="8" t="s">
        <v>37</v>
      </c>
      <c r="C52" s="8" t="s">
        <v>76</v>
      </c>
      <c r="D52" s="8" t="s">
        <v>77</v>
      </c>
      <c r="E52" s="8" t="s">
        <v>40</v>
      </c>
      <c r="F52" s="8">
        <v>7653.06</v>
      </c>
      <c r="G52" s="8" t="s">
        <v>18</v>
      </c>
      <c r="H52" s="8" t="s">
        <v>19</v>
      </c>
      <c r="I52" s="8" t="s">
        <v>75</v>
      </c>
      <c r="J52" s="8" t="s">
        <v>74</v>
      </c>
    </row>
    <row r="53" spans="1:10" ht="16.5" hidden="1">
      <c r="A53" s="7">
        <v>45503</v>
      </c>
      <c r="B53" s="8" t="s">
        <v>37</v>
      </c>
      <c r="C53" s="8" t="s">
        <v>38</v>
      </c>
      <c r="D53" s="8" t="s">
        <v>84</v>
      </c>
      <c r="E53" s="8" t="s">
        <v>40</v>
      </c>
      <c r="F53" s="8">
        <v>14234.44</v>
      </c>
      <c r="G53" s="8" t="s">
        <v>24</v>
      </c>
      <c r="H53" s="8" t="s">
        <v>25</v>
      </c>
      <c r="I53" s="8" t="s">
        <v>75</v>
      </c>
      <c r="J53" s="8" t="s">
        <v>74</v>
      </c>
    </row>
    <row r="54" spans="1:10" ht="16.5" hidden="1">
      <c r="A54" s="7">
        <v>45505</v>
      </c>
      <c r="B54" s="8" t="s">
        <v>37</v>
      </c>
      <c r="C54" s="8" t="s">
        <v>81</v>
      </c>
      <c r="D54" s="8" t="s">
        <v>82</v>
      </c>
      <c r="E54" s="8" t="s">
        <v>40</v>
      </c>
      <c r="F54" s="8">
        <v>9175.4599999999991</v>
      </c>
      <c r="G54" s="8" t="s">
        <v>24</v>
      </c>
      <c r="H54" s="8" t="s">
        <v>19</v>
      </c>
      <c r="I54" s="8" t="s">
        <v>80</v>
      </c>
      <c r="J54" s="8" t="s">
        <v>83</v>
      </c>
    </row>
    <row r="55" spans="1:10" ht="16.5" hidden="1">
      <c r="A55" s="7">
        <v>45509</v>
      </c>
      <c r="B55" s="8" t="s">
        <v>37</v>
      </c>
      <c r="C55" s="8" t="s">
        <v>76</v>
      </c>
      <c r="D55" s="8" t="s">
        <v>77</v>
      </c>
      <c r="E55" s="8" t="s">
        <v>40</v>
      </c>
      <c r="F55" s="8">
        <v>8414.59</v>
      </c>
      <c r="G55" s="8" t="s">
        <v>18</v>
      </c>
      <c r="H55" s="8" t="s">
        <v>19</v>
      </c>
      <c r="I55" s="8" t="s">
        <v>75</v>
      </c>
      <c r="J55" s="8" t="s">
        <v>74</v>
      </c>
    </row>
    <row r="56" spans="1:10" ht="16.5" hidden="1">
      <c r="A56" s="7">
        <v>45509</v>
      </c>
      <c r="B56" s="8" t="s">
        <v>37</v>
      </c>
      <c r="C56" s="8" t="s">
        <v>38</v>
      </c>
      <c r="D56" s="8" t="s">
        <v>84</v>
      </c>
      <c r="E56" s="8" t="s">
        <v>40</v>
      </c>
      <c r="F56" s="8">
        <v>9805.7199999999993</v>
      </c>
      <c r="G56" s="8" t="s">
        <v>78</v>
      </c>
      <c r="H56" s="8" t="s">
        <v>25</v>
      </c>
      <c r="I56" s="8" t="s">
        <v>75</v>
      </c>
      <c r="J56" s="8" t="s">
        <v>74</v>
      </c>
    </row>
    <row r="57" spans="1:10" ht="16.5" hidden="1">
      <c r="A57" s="7">
        <v>45515</v>
      </c>
      <c r="B57" s="8" t="s">
        <v>37</v>
      </c>
      <c r="C57" s="8" t="s">
        <v>51</v>
      </c>
      <c r="D57" s="8" t="s">
        <v>79</v>
      </c>
      <c r="E57" s="8" t="s">
        <v>40</v>
      </c>
      <c r="F57" s="8">
        <v>12604.84</v>
      </c>
      <c r="G57" s="8" t="s">
        <v>89</v>
      </c>
      <c r="H57" s="8" t="s">
        <v>19</v>
      </c>
      <c r="I57" s="8" t="s">
        <v>80</v>
      </c>
      <c r="J57" s="8" t="s">
        <v>74</v>
      </c>
    </row>
    <row r="58" spans="1:10" ht="16.5" hidden="1">
      <c r="A58" s="7">
        <v>45516</v>
      </c>
      <c r="B58" s="8" t="s">
        <v>37</v>
      </c>
      <c r="C58" s="8" t="s">
        <v>85</v>
      </c>
      <c r="D58" s="8" t="s">
        <v>86</v>
      </c>
      <c r="E58" s="8" t="s">
        <v>40</v>
      </c>
      <c r="F58" s="8">
        <v>12960.63</v>
      </c>
      <c r="G58" s="8" t="s">
        <v>78</v>
      </c>
      <c r="H58" s="8" t="s">
        <v>19</v>
      </c>
      <c r="I58" s="8" t="s">
        <v>80</v>
      </c>
      <c r="J58" s="8" t="s">
        <v>83</v>
      </c>
    </row>
    <row r="59" spans="1:10" ht="16.5" hidden="1">
      <c r="A59" s="7">
        <v>45516</v>
      </c>
      <c r="B59" s="8" t="s">
        <v>37</v>
      </c>
      <c r="C59" s="8" t="s">
        <v>85</v>
      </c>
      <c r="D59" s="8" t="s">
        <v>86</v>
      </c>
      <c r="E59" s="8" t="s">
        <v>40</v>
      </c>
      <c r="F59" s="8">
        <v>12365.99</v>
      </c>
      <c r="G59" s="8" t="s">
        <v>24</v>
      </c>
      <c r="H59" s="8" t="s">
        <v>19</v>
      </c>
      <c r="I59" s="8" t="s">
        <v>80</v>
      </c>
      <c r="J59" s="8" t="s">
        <v>83</v>
      </c>
    </row>
    <row r="60" spans="1:10" ht="16.5" hidden="1">
      <c r="A60" s="7">
        <v>45517</v>
      </c>
      <c r="B60" s="8" t="s">
        <v>37</v>
      </c>
      <c r="C60" s="8" t="s">
        <v>81</v>
      </c>
      <c r="D60" s="8" t="s">
        <v>82</v>
      </c>
      <c r="E60" s="8" t="s">
        <v>40</v>
      </c>
      <c r="F60" s="8">
        <v>6355.85</v>
      </c>
      <c r="G60" s="8" t="s">
        <v>78</v>
      </c>
      <c r="H60" s="8" t="s">
        <v>19</v>
      </c>
      <c r="I60" s="8" t="s">
        <v>80</v>
      </c>
      <c r="J60" s="8" t="s">
        <v>83</v>
      </c>
    </row>
    <row r="61" spans="1:10" ht="16.5" hidden="1">
      <c r="A61" s="7">
        <v>45519</v>
      </c>
      <c r="B61" s="8" t="s">
        <v>37</v>
      </c>
      <c r="C61" s="8" t="s">
        <v>38</v>
      </c>
      <c r="D61" s="8" t="s">
        <v>84</v>
      </c>
      <c r="E61" s="8" t="s">
        <v>40</v>
      </c>
      <c r="F61" s="8">
        <v>4151.7</v>
      </c>
      <c r="G61" s="8" t="s">
        <v>24</v>
      </c>
      <c r="H61" s="8" t="s">
        <v>25</v>
      </c>
      <c r="I61" s="8" t="s">
        <v>75</v>
      </c>
      <c r="J61" s="8" t="s">
        <v>74</v>
      </c>
    </row>
    <row r="62" spans="1:10" ht="16.5" hidden="1">
      <c r="A62" s="7">
        <v>45519</v>
      </c>
      <c r="B62" s="8" t="s">
        <v>37</v>
      </c>
      <c r="C62" s="8" t="s">
        <v>87</v>
      </c>
      <c r="D62" s="8" t="s">
        <v>88</v>
      </c>
      <c r="E62" s="8" t="s">
        <v>40</v>
      </c>
      <c r="F62" s="8">
        <v>4859.7299999999996</v>
      </c>
      <c r="G62" s="8" t="s">
        <v>24</v>
      </c>
      <c r="H62" s="8" t="s">
        <v>19</v>
      </c>
      <c r="I62" s="8" t="s">
        <v>80</v>
      </c>
      <c r="J62" s="8" t="s">
        <v>83</v>
      </c>
    </row>
    <row r="63" spans="1:10" ht="16.5" hidden="1">
      <c r="A63" s="7">
        <v>45519</v>
      </c>
      <c r="B63" s="8" t="s">
        <v>37</v>
      </c>
      <c r="C63" s="8" t="s">
        <v>38</v>
      </c>
      <c r="D63" s="8" t="s">
        <v>84</v>
      </c>
      <c r="E63" s="8" t="s">
        <v>40</v>
      </c>
      <c r="F63" s="8">
        <v>716.49</v>
      </c>
      <c r="G63" s="8" t="s">
        <v>78</v>
      </c>
      <c r="H63" s="8" t="s">
        <v>25</v>
      </c>
      <c r="I63" s="8" t="s">
        <v>75</v>
      </c>
      <c r="J63" s="8" t="s">
        <v>74</v>
      </c>
    </row>
    <row r="64" spans="1:10" ht="16.5" hidden="1">
      <c r="A64" s="7">
        <v>45520</v>
      </c>
      <c r="B64" s="8" t="s">
        <v>37</v>
      </c>
      <c r="C64" s="8" t="s">
        <v>87</v>
      </c>
      <c r="D64" s="8" t="s">
        <v>88</v>
      </c>
      <c r="E64" s="8" t="s">
        <v>40</v>
      </c>
      <c r="F64" s="8">
        <v>3466.83</v>
      </c>
      <c r="G64" s="8" t="s">
        <v>89</v>
      </c>
      <c r="H64" s="8" t="s">
        <v>19</v>
      </c>
      <c r="I64" s="8" t="s">
        <v>80</v>
      </c>
      <c r="J64" s="8" t="s">
        <v>83</v>
      </c>
    </row>
    <row r="65" spans="1:10" ht="16.5" hidden="1">
      <c r="A65" s="7">
        <v>45521</v>
      </c>
      <c r="B65" s="8" t="s">
        <v>37</v>
      </c>
      <c r="C65" s="8" t="s">
        <v>51</v>
      </c>
      <c r="D65" s="8" t="s">
        <v>79</v>
      </c>
      <c r="E65" s="8" t="s">
        <v>40</v>
      </c>
      <c r="F65" s="8">
        <v>1215.6300000000001</v>
      </c>
      <c r="G65" s="8" t="s">
        <v>89</v>
      </c>
      <c r="H65" s="8" t="s">
        <v>19</v>
      </c>
      <c r="I65" s="8" t="s">
        <v>80</v>
      </c>
      <c r="J65" s="8" t="s">
        <v>74</v>
      </c>
    </row>
    <row r="66" spans="1:10" ht="16.5" hidden="1">
      <c r="A66" s="7">
        <v>45522</v>
      </c>
      <c r="B66" s="8" t="s">
        <v>37</v>
      </c>
      <c r="C66" s="8" t="s">
        <v>81</v>
      </c>
      <c r="D66" s="8" t="s">
        <v>82</v>
      </c>
      <c r="E66" s="8" t="s">
        <v>40</v>
      </c>
      <c r="F66" s="8">
        <v>4005.52</v>
      </c>
      <c r="G66" s="8" t="s">
        <v>89</v>
      </c>
      <c r="H66" s="8" t="s">
        <v>19</v>
      </c>
      <c r="I66" s="8" t="s">
        <v>80</v>
      </c>
      <c r="J66" s="8" t="s">
        <v>83</v>
      </c>
    </row>
    <row r="67" spans="1:10" ht="16.5" hidden="1">
      <c r="A67" s="7">
        <v>45525</v>
      </c>
      <c r="B67" s="8" t="s">
        <v>37</v>
      </c>
      <c r="C67" s="8" t="s">
        <v>51</v>
      </c>
      <c r="D67" s="8" t="s">
        <v>79</v>
      </c>
      <c r="E67" s="8" t="s">
        <v>40</v>
      </c>
      <c r="F67" s="8">
        <v>14118.44</v>
      </c>
      <c r="G67" s="8" t="s">
        <v>18</v>
      </c>
      <c r="H67" s="8" t="s">
        <v>19</v>
      </c>
      <c r="I67" s="8" t="s">
        <v>80</v>
      </c>
      <c r="J67" s="8" t="s">
        <v>74</v>
      </c>
    </row>
    <row r="68" spans="1:10" ht="16.5" hidden="1">
      <c r="A68" s="7">
        <v>45525</v>
      </c>
      <c r="B68" s="8" t="s">
        <v>37</v>
      </c>
      <c r="C68" s="8" t="s">
        <v>81</v>
      </c>
      <c r="D68" s="8" t="s">
        <v>82</v>
      </c>
      <c r="E68" s="8" t="s">
        <v>40</v>
      </c>
      <c r="F68" s="8">
        <v>11125.31</v>
      </c>
      <c r="G68" s="8" t="s">
        <v>18</v>
      </c>
      <c r="H68" s="8" t="s">
        <v>19</v>
      </c>
      <c r="I68" s="8" t="s">
        <v>80</v>
      </c>
      <c r="J68" s="8" t="s">
        <v>83</v>
      </c>
    </row>
    <row r="69" spans="1:10" ht="16.5" hidden="1">
      <c r="A69" s="7">
        <v>45533</v>
      </c>
      <c r="B69" s="8" t="s">
        <v>37</v>
      </c>
      <c r="C69" s="8" t="s">
        <v>51</v>
      </c>
      <c r="D69" s="8" t="s">
        <v>79</v>
      </c>
      <c r="E69" s="8" t="s">
        <v>40</v>
      </c>
      <c r="F69" s="8">
        <v>10475.23</v>
      </c>
      <c r="G69" s="8" t="s">
        <v>89</v>
      </c>
      <c r="H69" s="8" t="s">
        <v>19</v>
      </c>
      <c r="I69" s="8" t="s">
        <v>80</v>
      </c>
      <c r="J69" s="8" t="s">
        <v>74</v>
      </c>
    </row>
  </sheetData>
  <autoFilter ref="A14:J69" xr:uid="{005A0F6B-031B-4CE3-9C99-ECF0A4BFEBFB}">
    <filterColumn colId="4">
      <filters>
        <filter val="Gasto"/>
      </filters>
    </filterColumn>
  </autoFilter>
  <conditionalFormatting sqref="F15:F39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Ingresos</vt:lpstr>
      <vt:lpstr>Gastos</vt:lpstr>
      <vt:lpstr>Ingresos y Gastos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E. Téllez G</dc:creator>
  <cp:lastModifiedBy>Russell Tito</cp:lastModifiedBy>
  <dcterms:created xsi:type="dcterms:W3CDTF">2025-07-01T15:51:39Z</dcterms:created>
  <dcterms:modified xsi:type="dcterms:W3CDTF">2026-01-21T04:17:00Z</dcterms:modified>
</cp:coreProperties>
</file>