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2_formulas_funciones_esenciales\"/>
    </mc:Choice>
  </mc:AlternateContent>
  <xr:revisionPtr revIDLastSave="0" documentId="13_ncr:1_{9B358163-792E-46CC-9479-8FAD4461FE6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ro" sheetId="1" r:id="rId1"/>
    <sheet name="Funciones Fech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+5keDJSEFcNyalnFe81CFK7cpNQ9bXAE8YoLgwz9Ly4="/>
    </ext>
  </extLst>
</workbook>
</file>

<file path=xl/calcChain.xml><?xml version="1.0" encoding="utf-8"?>
<calcChain xmlns="http://schemas.openxmlformats.org/spreadsheetml/2006/main">
  <c r="M15" i="2" l="1"/>
  <c r="L15" i="2"/>
  <c r="M16" i="2"/>
  <c r="M17" i="2"/>
  <c r="M18" i="2"/>
  <c r="M19" i="2"/>
  <c r="M20" i="2"/>
  <c r="M21" i="2"/>
  <c r="M22" i="2"/>
  <c r="M23" i="2"/>
  <c r="M24" i="2"/>
  <c r="M25" i="2"/>
  <c r="M14" i="2"/>
  <c r="L16" i="2"/>
  <c r="L17" i="2"/>
  <c r="L18" i="2"/>
  <c r="L19" i="2"/>
  <c r="L20" i="2"/>
  <c r="L21" i="2"/>
  <c r="L22" i="2"/>
  <c r="L23" i="2"/>
  <c r="L24" i="2"/>
  <c r="L25" i="2"/>
  <c r="L14" i="2"/>
  <c r="K15" i="2"/>
  <c r="K16" i="2"/>
  <c r="K17" i="2"/>
  <c r="K18" i="2"/>
  <c r="K19" i="2"/>
  <c r="K20" i="2"/>
  <c r="K21" i="2"/>
  <c r="K22" i="2"/>
  <c r="K23" i="2"/>
  <c r="K24" i="2"/>
  <c r="K25" i="2"/>
  <c r="K14" i="2"/>
  <c r="J15" i="2"/>
  <c r="J16" i="2"/>
  <c r="J17" i="2"/>
  <c r="J18" i="2"/>
  <c r="J19" i="2"/>
  <c r="J20" i="2"/>
  <c r="J21" i="2"/>
  <c r="J22" i="2"/>
  <c r="J23" i="2"/>
  <c r="J24" i="2"/>
  <c r="J25" i="2"/>
  <c r="J14" i="2"/>
  <c r="I15" i="2"/>
  <c r="I16" i="2"/>
  <c r="I17" i="2"/>
  <c r="I18" i="2"/>
  <c r="I19" i="2"/>
  <c r="I20" i="2"/>
  <c r="I21" i="2"/>
  <c r="I22" i="2"/>
  <c r="I23" i="2"/>
  <c r="I24" i="2"/>
  <c r="I25" i="2"/>
  <c r="I14" i="2"/>
  <c r="G15" i="2"/>
  <c r="H15" i="2" s="1"/>
  <c r="G16" i="2"/>
  <c r="G17" i="2"/>
  <c r="H17" i="2" s="1"/>
  <c r="G18" i="2"/>
  <c r="H18" i="2" s="1"/>
  <c r="G19" i="2"/>
  <c r="H19" i="2" s="1"/>
  <c r="G20" i="2"/>
  <c r="H20" i="2" s="1"/>
  <c r="G21" i="2"/>
  <c r="G22" i="2"/>
  <c r="G23" i="2"/>
  <c r="H23" i="2" s="1"/>
  <c r="G24" i="2"/>
  <c r="G25" i="2"/>
  <c r="H25" i="2" s="1"/>
  <c r="G14" i="2"/>
  <c r="H14" i="2" s="1"/>
  <c r="H24" i="2"/>
  <c r="H16" i="2"/>
  <c r="H21" i="2"/>
  <c r="H22" i="2"/>
  <c r="F15" i="2"/>
  <c r="F16" i="2"/>
  <c r="F17" i="2"/>
  <c r="F18" i="2"/>
  <c r="F19" i="2"/>
  <c r="F20" i="2"/>
  <c r="F21" i="2"/>
  <c r="F22" i="2"/>
  <c r="F23" i="2"/>
  <c r="F24" i="2"/>
  <c r="F25" i="2"/>
  <c r="F14" i="2"/>
  <c r="D9" i="2"/>
  <c r="D8" i="2"/>
  <c r="N17" i="2" s="1"/>
  <c r="N25" i="2" l="1"/>
  <c r="N14" i="2"/>
  <c r="N16" i="2"/>
  <c r="N15" i="2"/>
  <c r="N24" i="2"/>
  <c r="N23" i="2"/>
  <c r="N22" i="2"/>
  <c r="N21" i="2"/>
  <c r="N20" i="2"/>
  <c r="N19" i="2"/>
  <c r="N18" i="2"/>
</calcChain>
</file>

<file path=xl/sharedStrings.xml><?xml version="1.0" encoding="utf-8"?>
<sst xmlns="http://schemas.openxmlformats.org/spreadsheetml/2006/main" count="47" uniqueCount="47">
  <si>
    <t>Módulo 2</t>
  </si>
  <si>
    <t>Fórmulas y Funciones Esenciales</t>
  </si>
  <si>
    <t>Fechas sin drama: controla días, meses y años como Pro</t>
  </si>
  <si>
    <t>Fechas como números, formato de fecha, HOY, AHORA, DÍA, MES, AÑO, DIASLABINT</t>
  </si>
  <si>
    <t>Profe: @soydatadani</t>
  </si>
  <si>
    <t xml:space="preserve">¿Qué día es hoy? </t>
  </si>
  <si>
    <t>Fórmula HOY</t>
  </si>
  <si>
    <t>¿Día y hora?</t>
  </si>
  <si>
    <t>Fórmula AHORA</t>
  </si>
  <si>
    <t>Categoría</t>
  </si>
  <si>
    <t>Descripción</t>
  </si>
  <si>
    <t>Fecha de inicio</t>
  </si>
  <si>
    <t>Fecha de entrega</t>
  </si>
  <si>
    <t>DIA</t>
  </si>
  <si>
    <t>DIASEM</t>
  </si>
  <si>
    <t>DÍA TEXTO</t>
  </si>
  <si>
    <t>MES</t>
  </si>
  <si>
    <t>MES TEXTO</t>
  </si>
  <si>
    <t>AÑO</t>
  </si>
  <si>
    <t>DÍAS</t>
  </si>
  <si>
    <t>DÍAS LAB INT</t>
  </si>
  <si>
    <t>Días restantes</t>
  </si>
  <si>
    <t>Dias Descanso</t>
  </si>
  <si>
    <t>Proyecto 1</t>
  </si>
  <si>
    <t>Rediseño app de finanzas personales para startup fintech</t>
  </si>
  <si>
    <t>Proyecto 2</t>
  </si>
  <si>
    <t>Diseño de dashboard para monitoreo de métricas en e-commerce</t>
  </si>
  <si>
    <t>Proyecto 3</t>
  </si>
  <si>
    <t>Investigación UX para aplicación de salud mental</t>
  </si>
  <si>
    <t>Proyecto 4</t>
  </si>
  <si>
    <t>Wireframes para sistema de gestión de clínicas dentales</t>
  </si>
  <si>
    <t>Proyecto 5</t>
  </si>
  <si>
    <t>Prototipado de plataforma educativa para niños</t>
  </si>
  <si>
    <t>Proyecto 6</t>
  </si>
  <si>
    <t>Optimización de experiencia de onboarding para app de delivery</t>
  </si>
  <si>
    <t>Proyecto 7</t>
  </si>
  <si>
    <t>Análisis de usabilidad en sitio web de moda</t>
  </si>
  <si>
    <t>Proyecto 8</t>
  </si>
  <si>
    <t>Consultoría freelance para tienda online de maquillaje</t>
  </si>
  <si>
    <t>Proyecto 9</t>
  </si>
  <si>
    <t>UX audit para plataforma de reservas de hoteles</t>
  </si>
  <si>
    <t>Proyecto 10</t>
  </si>
  <si>
    <t>Diseño de interfaz para app de seguimiento de hábitos</t>
  </si>
  <si>
    <t>Proyecto 11</t>
  </si>
  <si>
    <t>Colaboración con equipo de desarrollo en app de citas</t>
  </si>
  <si>
    <t>Proyecto 12</t>
  </si>
  <si>
    <t>Creación de sistema de diseño para proyecto 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</si>
</sst>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18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1"/>
      <color theme="1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14" fontId="7" fillId="2" borderId="1" xfId="0" applyNumberFormat="1" applyFont="1" applyFill="1" applyBorder="1"/>
    <xf numFmtId="22" fontId="7" fillId="2" borderId="1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</xdr:row>
      <xdr:rowOff>19050</xdr:rowOff>
    </xdr:from>
    <xdr:ext cx="7486650" cy="800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Funciones de Fecha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8</xdr:row>
      <xdr:rowOff>152400</xdr:rowOff>
    </xdr:from>
    <xdr:ext cx="6467475" cy="1038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117025" y="3265650"/>
          <a:ext cx="6457950" cy="1028700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IBM Plex Sans"/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Las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funciones de fecha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en Excel te ayudan a manejar y calcular fechas fácilmente. Con ellas, puedes obtener la fecha actual, calcular días entre fechas, o extraer solo el mes o el año. Son ideales para organizar cronogramas y plazos sin hacer cálculos manuales. ¡Excel hace el trabajo por ti! 😊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17</xdr:col>
      <xdr:colOff>9525</xdr:colOff>
      <xdr:row>14</xdr:row>
      <xdr:rowOff>95250</xdr:rowOff>
    </xdr:from>
    <xdr:ext cx="6467475" cy="34861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117025" y="2041688"/>
          <a:ext cx="6457950" cy="3476625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IBM Plex Sans"/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¿Cuáles son? 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IBM Plex Sans"/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HOY()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Devuelve la fecha actual.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AHORA()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Devuelve la fecha y hora actuales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DIA(fecha)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Extrae el día de una fecha. 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MES(fecha)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Extrae el mes de una fecha.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AÑO(fecha)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Extrae el año de una fecha.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DIAS(fecha_fin, fecha_inicio)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Calcula el número de días entre dos fechas.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DIAS.LAB(fecha_inicio, fecha_fin, [festivos])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Calcula los días laborales entre dos fechas, excluyendo fines de semana y festivos.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DIASEM(fecha, [tipo])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Devuelve el día de la semana como número (por ejemplo, lunes = 2)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FIN.MES(fecha, meses)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Devuelve la última fecha del mes, después de sumar un número de meses.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FECHA(año, mes, día)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Crea una fecha a partir de valores separados de año, mes y día.</a:t>
          </a:r>
          <a:endParaRPr sz="1100" b="1"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5</xdr:col>
      <xdr:colOff>0</xdr:colOff>
      <xdr:row>0</xdr:row>
      <xdr:rowOff>0</xdr:rowOff>
    </xdr:from>
    <xdr:ext cx="1057275" cy="1162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7" sqref="A7:XFD7"/>
    </sheetView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F29" sqref="F29"/>
    </sheetView>
  </sheetViews>
  <sheetFormatPr baseColWidth="10" defaultColWidth="12.625" defaultRowHeight="15" customHeight="1"/>
  <cols>
    <col min="1" max="1" width="11.5" customWidth="1"/>
    <col min="2" max="2" width="18.75" customWidth="1"/>
    <col min="3" max="3" width="26.75" customWidth="1"/>
    <col min="4" max="4" width="19.5" customWidth="1"/>
    <col min="5" max="5" width="12.875" customWidth="1"/>
    <col min="6" max="9" width="11.5" customWidth="1"/>
    <col min="10" max="10" width="12.5" customWidth="1"/>
    <col min="11" max="13" width="11.5" customWidth="1"/>
    <col min="14" max="14" width="12.5" customWidth="1"/>
    <col min="15" max="15" width="11.5" customWidth="1"/>
    <col min="16" max="16" width="22.5" customWidth="1"/>
    <col min="1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7" t="s">
        <v>5</v>
      </c>
      <c r="C8" s="7" t="s">
        <v>6</v>
      </c>
      <c r="D8" s="8">
        <f ca="1">TODAY()</f>
        <v>46050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7" t="s">
        <v>7</v>
      </c>
      <c r="C9" s="7" t="s">
        <v>8</v>
      </c>
      <c r="D9" s="9">
        <f ca="1">NOW()</f>
        <v>46050.537325925929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10" t="s">
        <v>9</v>
      </c>
      <c r="C13" s="10" t="s">
        <v>10</v>
      </c>
      <c r="D13" s="10" t="s">
        <v>11</v>
      </c>
      <c r="E13" s="10" t="s">
        <v>12</v>
      </c>
      <c r="F13" s="10" t="s">
        <v>13</v>
      </c>
      <c r="G13" s="10" t="s">
        <v>14</v>
      </c>
      <c r="H13" s="10" t="s">
        <v>15</v>
      </c>
      <c r="I13" s="10" t="s">
        <v>16</v>
      </c>
      <c r="J13" s="10" t="s">
        <v>17</v>
      </c>
      <c r="K13" s="10" t="s">
        <v>18</v>
      </c>
      <c r="L13" s="10" t="s">
        <v>19</v>
      </c>
      <c r="M13" s="10" t="s">
        <v>20</v>
      </c>
      <c r="N13" s="10" t="s">
        <v>21</v>
      </c>
      <c r="O13" s="6"/>
      <c r="P13" s="10" t="s">
        <v>22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6" t="s">
        <v>23</v>
      </c>
      <c r="C14" s="6" t="s">
        <v>24</v>
      </c>
      <c r="D14" s="11">
        <v>46024</v>
      </c>
      <c r="E14" s="11">
        <v>46050</v>
      </c>
      <c r="F14" s="6">
        <f>DAY(E14)</f>
        <v>28</v>
      </c>
      <c r="G14" s="6">
        <f>WEEKDAY(E14,1)</f>
        <v>4</v>
      </c>
      <c r="H14" s="6" t="str">
        <f>TEXT(G14,"ddd")</f>
        <v>mié</v>
      </c>
      <c r="I14" s="6">
        <f>MONTH(E14)</f>
        <v>1</v>
      </c>
      <c r="J14" s="6" t="str">
        <f>TEXT(E14,"mmmm")</f>
        <v>enero</v>
      </c>
      <c r="K14" s="6">
        <f>YEAR(E14)</f>
        <v>2026</v>
      </c>
      <c r="L14" s="6">
        <f>_xlfn.DAYS(E14,D14)</f>
        <v>26</v>
      </c>
      <c r="M14" s="6">
        <f>NETWORKDAYS.INTL(D14,E14,1,$P$14:$P$19)</f>
        <v>19</v>
      </c>
      <c r="N14" s="6">
        <f ca="1">E14-$D$8</f>
        <v>0</v>
      </c>
      <c r="O14" s="6"/>
      <c r="P14" s="11">
        <v>45812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6" t="s">
        <v>25</v>
      </c>
      <c r="C15" s="6" t="s">
        <v>26</v>
      </c>
      <c r="D15" s="11">
        <v>45792</v>
      </c>
      <c r="E15" s="11">
        <v>45806</v>
      </c>
      <c r="F15" s="6">
        <f t="shared" ref="F15:F25" si="0">DAY(E15)</f>
        <v>29</v>
      </c>
      <c r="G15" s="6">
        <f t="shared" ref="G15:G25" si="1">WEEKDAY(E15,1)</f>
        <v>5</v>
      </c>
      <c r="H15" s="6" t="str">
        <f t="shared" ref="H15:H25" si="2">TEXT(G15,"ddd")</f>
        <v>jue</v>
      </c>
      <c r="I15" s="6">
        <f t="shared" ref="I15:I25" si="3">MONTH(E15)</f>
        <v>5</v>
      </c>
      <c r="J15" s="6" t="str">
        <f t="shared" ref="J15:J25" si="4">TEXT(E15,"mmmm")</f>
        <v>mayo</v>
      </c>
      <c r="K15" s="6">
        <f t="shared" ref="K15:K25" si="5">YEAR(E15)</f>
        <v>2025</v>
      </c>
      <c r="L15" s="6">
        <f>_xlfn.DAYS(E15,D15)</f>
        <v>14</v>
      </c>
      <c r="M15" s="6">
        <f>NETWORKDAYS.INTL(D15,E15,1,$P$14:$P$19)</f>
        <v>11</v>
      </c>
      <c r="N15" s="6">
        <f t="shared" ref="N15:N25" ca="1" si="6">E15-$D$8</f>
        <v>-244</v>
      </c>
      <c r="O15" s="6"/>
      <c r="P15" s="11">
        <v>45815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6" t="s">
        <v>27</v>
      </c>
      <c r="C16" s="6" t="s">
        <v>28</v>
      </c>
      <c r="D16" s="11">
        <v>45828</v>
      </c>
      <c r="E16" s="11">
        <v>45858</v>
      </c>
      <c r="F16" s="6">
        <f t="shared" si="0"/>
        <v>20</v>
      </c>
      <c r="G16" s="6">
        <f t="shared" si="1"/>
        <v>1</v>
      </c>
      <c r="H16" s="6" t="str">
        <f t="shared" si="2"/>
        <v>dom</v>
      </c>
      <c r="I16" s="6">
        <f t="shared" si="3"/>
        <v>7</v>
      </c>
      <c r="J16" s="6" t="str">
        <f t="shared" si="4"/>
        <v>julio</v>
      </c>
      <c r="K16" s="6">
        <f t="shared" si="5"/>
        <v>2025</v>
      </c>
      <c r="L16" s="6">
        <f t="shared" ref="L15:L25" si="7">_xlfn.DAYS(E16,D16)</f>
        <v>30</v>
      </c>
      <c r="M16" s="6">
        <f t="shared" ref="M15:M25" si="8">NETWORKDAYS.INTL(D16,E16,1,$P$14:$P$19)</f>
        <v>18</v>
      </c>
      <c r="N16" s="6">
        <f t="shared" ca="1" si="6"/>
        <v>-192</v>
      </c>
      <c r="O16" s="6"/>
      <c r="P16" s="11">
        <v>45830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6" t="s">
        <v>29</v>
      </c>
      <c r="C17" s="6" t="s">
        <v>30</v>
      </c>
      <c r="D17" s="11">
        <v>45825</v>
      </c>
      <c r="E17" s="11">
        <v>45850</v>
      </c>
      <c r="F17" s="6">
        <f t="shared" si="0"/>
        <v>12</v>
      </c>
      <c r="G17" s="6">
        <f t="shared" si="1"/>
        <v>7</v>
      </c>
      <c r="H17" s="6" t="str">
        <f t="shared" si="2"/>
        <v>sáb</v>
      </c>
      <c r="I17" s="6">
        <f t="shared" si="3"/>
        <v>7</v>
      </c>
      <c r="J17" s="6" t="str">
        <f t="shared" si="4"/>
        <v>julio</v>
      </c>
      <c r="K17" s="6">
        <f t="shared" si="5"/>
        <v>2025</v>
      </c>
      <c r="L17" s="6">
        <f t="shared" si="7"/>
        <v>25</v>
      </c>
      <c r="M17" s="6">
        <f t="shared" si="8"/>
        <v>17</v>
      </c>
      <c r="N17" s="6">
        <f t="shared" ca="1" si="6"/>
        <v>-200</v>
      </c>
      <c r="O17" s="6"/>
      <c r="P17" s="11">
        <v>45834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6" t="s">
        <v>31</v>
      </c>
      <c r="C18" s="6" t="s">
        <v>32</v>
      </c>
      <c r="D18" s="11">
        <v>45795</v>
      </c>
      <c r="E18" s="11">
        <v>45813</v>
      </c>
      <c r="F18" s="6">
        <f t="shared" si="0"/>
        <v>5</v>
      </c>
      <c r="G18" s="6">
        <f t="shared" si="1"/>
        <v>5</v>
      </c>
      <c r="H18" s="6" t="str">
        <f t="shared" si="2"/>
        <v>jue</v>
      </c>
      <c r="I18" s="6">
        <f t="shared" si="3"/>
        <v>6</v>
      </c>
      <c r="J18" s="6" t="str">
        <f t="shared" si="4"/>
        <v>junio</v>
      </c>
      <c r="K18" s="6">
        <f t="shared" si="5"/>
        <v>2025</v>
      </c>
      <c r="L18" s="6">
        <f t="shared" si="7"/>
        <v>18</v>
      </c>
      <c r="M18" s="6">
        <f t="shared" si="8"/>
        <v>13</v>
      </c>
      <c r="N18" s="6">
        <f t="shared" ca="1" si="6"/>
        <v>-237</v>
      </c>
      <c r="O18" s="6"/>
      <c r="P18" s="11">
        <v>45848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6" t="s">
        <v>33</v>
      </c>
      <c r="C19" s="6" t="s">
        <v>34</v>
      </c>
      <c r="D19" s="11">
        <v>45831</v>
      </c>
      <c r="E19" s="11">
        <v>45853</v>
      </c>
      <c r="F19" s="6">
        <f t="shared" si="0"/>
        <v>15</v>
      </c>
      <c r="G19" s="6">
        <f t="shared" si="1"/>
        <v>3</v>
      </c>
      <c r="H19" s="6" t="str">
        <f t="shared" si="2"/>
        <v>mar</v>
      </c>
      <c r="I19" s="6">
        <f t="shared" si="3"/>
        <v>7</v>
      </c>
      <c r="J19" s="6" t="str">
        <f t="shared" si="4"/>
        <v>julio</v>
      </c>
      <c r="K19" s="6">
        <f t="shared" si="5"/>
        <v>2025</v>
      </c>
      <c r="L19" s="6">
        <f t="shared" si="7"/>
        <v>22</v>
      </c>
      <c r="M19" s="6">
        <f t="shared" si="8"/>
        <v>15</v>
      </c>
      <c r="N19" s="6">
        <f t="shared" ca="1" si="6"/>
        <v>-197</v>
      </c>
      <c r="O19" s="6"/>
      <c r="P19" s="11">
        <v>45854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6" t="s">
        <v>35</v>
      </c>
      <c r="C20" s="6" t="s">
        <v>36</v>
      </c>
      <c r="D20" s="11">
        <v>45789</v>
      </c>
      <c r="E20" s="11">
        <v>45805</v>
      </c>
      <c r="F20" s="6">
        <f t="shared" si="0"/>
        <v>28</v>
      </c>
      <c r="G20" s="6">
        <f t="shared" si="1"/>
        <v>4</v>
      </c>
      <c r="H20" s="6" t="str">
        <f t="shared" si="2"/>
        <v>mié</v>
      </c>
      <c r="I20" s="6">
        <f t="shared" si="3"/>
        <v>5</v>
      </c>
      <c r="J20" s="6" t="str">
        <f t="shared" si="4"/>
        <v>mayo</v>
      </c>
      <c r="K20" s="6">
        <f t="shared" si="5"/>
        <v>2025</v>
      </c>
      <c r="L20" s="6">
        <f t="shared" si="7"/>
        <v>16</v>
      </c>
      <c r="M20" s="6">
        <f t="shared" si="8"/>
        <v>13</v>
      </c>
      <c r="N20" s="6">
        <f t="shared" ca="1" si="6"/>
        <v>-245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6" t="s">
        <v>37</v>
      </c>
      <c r="C21" s="6" t="s">
        <v>38</v>
      </c>
      <c r="D21" s="11">
        <v>45794</v>
      </c>
      <c r="E21" s="11">
        <v>45810</v>
      </c>
      <c r="F21" s="6">
        <f t="shared" si="0"/>
        <v>2</v>
      </c>
      <c r="G21" s="6">
        <f t="shared" si="1"/>
        <v>2</v>
      </c>
      <c r="H21" s="6" t="str">
        <f t="shared" si="2"/>
        <v>lun</v>
      </c>
      <c r="I21" s="6">
        <f t="shared" si="3"/>
        <v>6</v>
      </c>
      <c r="J21" s="6" t="str">
        <f t="shared" si="4"/>
        <v>junio</v>
      </c>
      <c r="K21" s="6">
        <f t="shared" si="5"/>
        <v>2025</v>
      </c>
      <c r="L21" s="6">
        <f t="shared" si="7"/>
        <v>16</v>
      </c>
      <c r="M21" s="6">
        <f t="shared" si="8"/>
        <v>11</v>
      </c>
      <c r="N21" s="6">
        <f t="shared" ca="1" si="6"/>
        <v>-240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6" t="s">
        <v>39</v>
      </c>
      <c r="C22" s="6" t="s">
        <v>40</v>
      </c>
      <c r="D22" s="11">
        <v>45827</v>
      </c>
      <c r="E22" s="11">
        <v>45840</v>
      </c>
      <c r="F22" s="6">
        <f t="shared" si="0"/>
        <v>2</v>
      </c>
      <c r="G22" s="6">
        <f t="shared" si="1"/>
        <v>4</v>
      </c>
      <c r="H22" s="6" t="str">
        <f t="shared" si="2"/>
        <v>mié</v>
      </c>
      <c r="I22" s="6">
        <f t="shared" si="3"/>
        <v>7</v>
      </c>
      <c r="J22" s="6" t="str">
        <f t="shared" si="4"/>
        <v>julio</v>
      </c>
      <c r="K22" s="6">
        <f t="shared" si="5"/>
        <v>2025</v>
      </c>
      <c r="L22" s="6">
        <f t="shared" si="7"/>
        <v>13</v>
      </c>
      <c r="M22" s="6">
        <f t="shared" si="8"/>
        <v>9</v>
      </c>
      <c r="N22" s="6">
        <f t="shared" ca="1" si="6"/>
        <v>-210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6" t="s">
        <v>41</v>
      </c>
      <c r="C23" s="6" t="s">
        <v>42</v>
      </c>
      <c r="D23" s="11">
        <v>45803</v>
      </c>
      <c r="E23" s="11">
        <v>45813</v>
      </c>
      <c r="F23" s="6">
        <f t="shared" si="0"/>
        <v>5</v>
      </c>
      <c r="G23" s="6">
        <f t="shared" si="1"/>
        <v>5</v>
      </c>
      <c r="H23" s="6" t="str">
        <f t="shared" si="2"/>
        <v>jue</v>
      </c>
      <c r="I23" s="6">
        <f t="shared" si="3"/>
        <v>6</v>
      </c>
      <c r="J23" s="6" t="str">
        <f t="shared" si="4"/>
        <v>junio</v>
      </c>
      <c r="K23" s="6">
        <f t="shared" si="5"/>
        <v>2025</v>
      </c>
      <c r="L23" s="6">
        <f t="shared" si="7"/>
        <v>10</v>
      </c>
      <c r="M23" s="6">
        <f t="shared" si="8"/>
        <v>8</v>
      </c>
      <c r="N23" s="6">
        <f t="shared" ca="1" si="6"/>
        <v>-237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 t="s">
        <v>43</v>
      </c>
      <c r="C24" s="6" t="s">
        <v>44</v>
      </c>
      <c r="D24" s="11">
        <v>45789</v>
      </c>
      <c r="E24" s="11">
        <v>45815</v>
      </c>
      <c r="F24" s="6">
        <f t="shared" si="0"/>
        <v>7</v>
      </c>
      <c r="G24" s="6">
        <f t="shared" si="1"/>
        <v>7</v>
      </c>
      <c r="H24" s="6" t="str">
        <f t="shared" si="2"/>
        <v>sáb</v>
      </c>
      <c r="I24" s="6">
        <f t="shared" si="3"/>
        <v>6</v>
      </c>
      <c r="J24" s="6" t="str">
        <f t="shared" si="4"/>
        <v>junio</v>
      </c>
      <c r="K24" s="6">
        <f t="shared" si="5"/>
        <v>2025</v>
      </c>
      <c r="L24" s="6">
        <f t="shared" si="7"/>
        <v>26</v>
      </c>
      <c r="M24" s="6">
        <f t="shared" si="8"/>
        <v>19</v>
      </c>
      <c r="N24" s="6">
        <f t="shared" ca="1" si="6"/>
        <v>-235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 t="s">
        <v>45</v>
      </c>
      <c r="C25" s="6" t="s">
        <v>46</v>
      </c>
      <c r="D25" s="11">
        <v>45818</v>
      </c>
      <c r="E25" s="11">
        <v>46054</v>
      </c>
      <c r="F25" s="6">
        <f t="shared" si="0"/>
        <v>1</v>
      </c>
      <c r="G25" s="6">
        <f t="shared" si="1"/>
        <v>1</v>
      </c>
      <c r="H25" s="6" t="str">
        <f t="shared" si="2"/>
        <v>dom</v>
      </c>
      <c r="I25" s="6">
        <f t="shared" si="3"/>
        <v>2</v>
      </c>
      <c r="J25" s="6" t="str">
        <f t="shared" si="4"/>
        <v>febrero</v>
      </c>
      <c r="K25" s="6">
        <f t="shared" si="5"/>
        <v>2026</v>
      </c>
      <c r="L25" s="6">
        <f t="shared" si="7"/>
        <v>236</v>
      </c>
      <c r="M25" s="6">
        <f t="shared" si="8"/>
        <v>166</v>
      </c>
      <c r="N25" s="6">
        <f t="shared" ca="1" si="6"/>
        <v>4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11"/>
      <c r="E26" s="11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11"/>
      <c r="E27" s="11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11"/>
      <c r="E28" s="11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Intro</vt:lpstr>
      <vt:lpstr>Funciones Fecha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2025-06-30T03:01:06Z</dcterms:created>
  <dcterms:modified xsi:type="dcterms:W3CDTF">2026-01-28T17:53:50Z</dcterms:modified>
</cp:coreProperties>
</file>