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2_formulas_funciones_esenciales\"/>
    </mc:Choice>
  </mc:AlternateContent>
  <xr:revisionPtr revIDLastSave="0" documentId="13_ncr:1_{06C387DE-FD92-48E8-A006-AEAC604AA66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tro" sheetId="1" r:id="rId1"/>
    <sheet name="Operadores Básicos" sheetId="2" r:id="rId2"/>
    <sheet name="Referencias" sheetId="3" r:id="rId3"/>
    <sheet name="Comisiones de Ventas" sheetId="4" r:id="rId4"/>
    <sheet name="Areas" sheetId="5" r:id="rId5"/>
    <sheet name="Jerarquía Operadores" sheetId="6" r:id="rId6"/>
  </sheets>
  <externalReferences>
    <externalReference r:id="rId7"/>
  </externalReferences>
  <definedNames>
    <definedName name="Abril" localSheetId="4">#REF!</definedName>
    <definedName name="Abril" localSheetId="3">#REF!</definedName>
    <definedName name="Abril">#REF!</definedName>
    <definedName name="anscount">2</definedName>
    <definedName name="Apellido">'[1]27'!$C$15:$C$22</definedName>
    <definedName name="base_datos">'[1]76'!$A$58:$E$74</definedName>
    <definedName name="BudgetTab" localSheetId="4">#REF!</definedName>
    <definedName name="BudgetTab" localSheetId="3">#REF!</definedName>
    <definedName name="BudgetTab">#REF!</definedName>
    <definedName name="Carnicería" localSheetId="4">#REF!</definedName>
    <definedName name="Carnicería" localSheetId="3">#REF!</definedName>
    <definedName name="Carnicería">#REF!</definedName>
    <definedName name="Code">'[1]35'!$A$1:$A$12</definedName>
    <definedName name="Código" localSheetId="4">#REF!</definedName>
    <definedName name="Código" localSheetId="3">#REF!</definedName>
    <definedName name="Código">#REF!</definedName>
    <definedName name="Colegios" localSheetId="4">#REF!</definedName>
    <definedName name="Colegios" localSheetId="3">#REF!</definedName>
    <definedName name="Colegios">#REF!</definedName>
    <definedName name="Comida" localSheetId="4">#REF!</definedName>
    <definedName name="Comida" localSheetId="3">#REF!</definedName>
    <definedName name="Comida">#REF!</definedName>
    <definedName name="cuota">'[1]32'!$A$11:$D$28</definedName>
    <definedName name="Domicilio">'[1]27'!$D$15:$D$22</definedName>
    <definedName name="Elementos" localSheetId="4">#REF!</definedName>
    <definedName name="Elementos" localSheetId="3">#REF!</definedName>
    <definedName name="Elementos">#REF!</definedName>
    <definedName name="Enero" localSheetId="4">#REF!</definedName>
    <definedName name="Enero" localSheetId="3">#REF!</definedName>
    <definedName name="Enero">#REF!</definedName>
    <definedName name="ExtraCredit" localSheetId="4">#REF!</definedName>
    <definedName name="ExtraCredit" localSheetId="3">#REF!</definedName>
    <definedName name="ExtraCredit">#REF!</definedName>
    <definedName name="Febrero" localSheetId="4">#REF!</definedName>
    <definedName name="Febrero" localSheetId="3">#REF!</definedName>
    <definedName name="Febrero">#REF!</definedName>
    <definedName name="Fruta" localSheetId="4">#REF!</definedName>
    <definedName name="Fruta" localSheetId="3">#REF!</definedName>
    <definedName name="Fruta">#REF!</definedName>
    <definedName name="Gasolina" localSheetId="4">#REF!</definedName>
    <definedName name="Gasolina" localSheetId="3">#REF!</definedName>
    <definedName name="Gasolina">#REF!</definedName>
    <definedName name="Luz" localSheetId="4">#REF!</definedName>
    <definedName name="Luz" localSheetId="3">#REF!</definedName>
    <definedName name="Luz">#REF!</definedName>
    <definedName name="Marzo" localSheetId="4">#REF!</definedName>
    <definedName name="Marzo" localSheetId="3">#REF!</definedName>
    <definedName name="Marzo">#REF!</definedName>
    <definedName name="Marzo1" localSheetId="4">#REF!</definedName>
    <definedName name="Marzo1" localSheetId="3">#REF!</definedName>
    <definedName name="Marzo1">#REF!</definedName>
    <definedName name="MoreFruit" localSheetId="4">#REF!</definedName>
    <definedName name="MoreFruit" localSheetId="3">#REF!</definedName>
    <definedName name="MoreFruit">#REF!</definedName>
    <definedName name="MoreItem" localSheetId="4">#REF!</definedName>
    <definedName name="MoreItem" localSheetId="3">#REF!</definedName>
    <definedName name="MoreItem">#REF!</definedName>
    <definedName name="MoreItems" localSheetId="4">#REF!</definedName>
    <definedName name="MoreItems" localSheetId="3">#REF!</definedName>
    <definedName name="MoreItems">#REF!</definedName>
    <definedName name="Nombre">'[1]27'!$B$15:$B$22</definedName>
    <definedName name="Ocio" localSheetId="4">#REF!</definedName>
    <definedName name="Ocio" localSheetId="3">#REF!</definedName>
    <definedName name="Ocio">#REF!</definedName>
    <definedName name="Saldo_pdte.">'[1]27'!$F$15:$F$22</definedName>
    <definedName name="sencount">1</definedName>
    <definedName name="SUMAR.SI" localSheetId="4">#REF!</definedName>
    <definedName name="SUMAR.SI" localSheetId="3">#REF!</definedName>
    <definedName name="SUMAR.SI">#REF!</definedName>
    <definedName name="SUMExtraCredit" localSheetId="4">#REF!</definedName>
    <definedName name="SUMExtraCredit" localSheetId="3">#REF!</definedName>
    <definedName name="SUMExtraCredit">#REF!</definedName>
    <definedName name="SUMIFExtraCredit" localSheetId="4">#REF!</definedName>
    <definedName name="SUMIFExtraCredit" localSheetId="3">#REF!</definedName>
    <definedName name="SUMIFExtraCredit">#REF!</definedName>
    <definedName name="Teléfono" localSheetId="4">#REF!</definedName>
    <definedName name="Teléfono" localSheetId="3">#REF!</definedName>
    <definedName name="Teléfono">#REF!</definedName>
    <definedName name="Total" localSheetId="4">#REF!</definedName>
    <definedName name="Total" localSheetId="3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i2L+I9YSUVrdnxmQpkAcBfQPAmX74iUJERi5sJ6izsg="/>
    </ext>
  </extLst>
</workbook>
</file>

<file path=xl/calcChain.xml><?xml version="1.0" encoding="utf-8"?>
<calcChain xmlns="http://schemas.openxmlformats.org/spreadsheetml/2006/main">
  <c r="D13" i="5" l="1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E12" i="5"/>
  <c r="F12" i="5"/>
  <c r="G12" i="5"/>
  <c r="D12" i="5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C42" i="4"/>
  <c r="D42" i="4"/>
  <c r="E42" i="4"/>
  <c r="C43" i="4"/>
  <c r="D43" i="4"/>
  <c r="E43" i="4"/>
  <c r="C44" i="4"/>
  <c r="D44" i="4"/>
  <c r="E44" i="4"/>
  <c r="C45" i="4"/>
  <c r="D45" i="4"/>
  <c r="E45" i="4"/>
  <c r="C46" i="4"/>
  <c r="D46" i="4"/>
  <c r="E46" i="4"/>
  <c r="C47" i="4"/>
  <c r="D47" i="4"/>
  <c r="E47" i="4"/>
  <c r="C48" i="4"/>
  <c r="D48" i="4"/>
  <c r="E48" i="4"/>
  <c r="C49" i="4"/>
  <c r="D49" i="4"/>
  <c r="E49" i="4"/>
  <c r="C50" i="4"/>
  <c r="D50" i="4"/>
  <c r="E50" i="4"/>
  <c r="C51" i="4"/>
  <c r="D51" i="4"/>
  <c r="E51" i="4"/>
  <c r="C52" i="4"/>
  <c r="D52" i="4"/>
  <c r="E52" i="4"/>
  <c r="C53" i="4"/>
  <c r="D53" i="4"/>
  <c r="E53" i="4"/>
  <c r="C54" i="4"/>
  <c r="D54" i="4"/>
  <c r="E54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C60" i="4"/>
  <c r="D60" i="4"/>
  <c r="E60" i="4"/>
  <c r="C61" i="4"/>
  <c r="D61" i="4"/>
  <c r="E61" i="4"/>
  <c r="C62" i="4"/>
  <c r="D62" i="4"/>
  <c r="E62" i="4"/>
  <c r="C11" i="4"/>
  <c r="I13" i="3"/>
  <c r="I14" i="3"/>
  <c r="I15" i="3"/>
  <c r="I16" i="3"/>
  <c r="I17" i="3"/>
  <c r="I18" i="3"/>
  <c r="I19" i="3"/>
  <c r="I20" i="3"/>
  <c r="I21" i="3"/>
  <c r="I12" i="3"/>
  <c r="D13" i="3"/>
  <c r="D14" i="3"/>
  <c r="D15" i="3"/>
  <c r="D16" i="3"/>
  <c r="D17" i="3"/>
  <c r="D18" i="3"/>
  <c r="D19" i="3"/>
  <c r="D20" i="3"/>
  <c r="D21" i="3"/>
  <c r="D12" i="3"/>
  <c r="I26" i="2"/>
  <c r="I20" i="2"/>
  <c r="I19" i="2"/>
  <c r="I17" i="2"/>
  <c r="I15" i="2"/>
  <c r="I13" i="2"/>
  <c r="I11" i="2"/>
  <c r="I10" i="2"/>
  <c r="E17" i="6"/>
  <c r="E16" i="6"/>
  <c r="E15" i="6"/>
  <c r="E14" i="6"/>
  <c r="E13" i="6"/>
  <c r="E12" i="6"/>
  <c r="E11" i="6"/>
  <c r="E10" i="6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</calcChain>
</file>

<file path=xl/sharedStrings.xml><?xml version="1.0" encoding="utf-8"?>
<sst xmlns="http://schemas.openxmlformats.org/spreadsheetml/2006/main" count="96" uniqueCount="87">
  <si>
    <t>Módulo 2</t>
  </si>
  <si>
    <t>Fórmulas y Funciones Esenciales</t>
  </si>
  <si>
    <t>El secreto de los pros: referencias que no se mueven</t>
  </si>
  <si>
    <t>Referencias relativas (A1), absolutas ($A$1), mixtas ($A1, A$1), copiar fórmulas correctamente</t>
  </si>
  <si>
    <t>Profe: @soydatadani</t>
  </si>
  <si>
    <t>Símbolo</t>
  </si>
  <si>
    <t>Función</t>
  </si>
  <si>
    <t>+</t>
  </si>
  <si>
    <t>Suma</t>
  </si>
  <si>
    <t>-</t>
  </si>
  <si>
    <t>Resta</t>
  </si>
  <si>
    <t>/</t>
  </si>
  <si>
    <t>Divide</t>
  </si>
  <si>
    <t>*</t>
  </si>
  <si>
    <t>Multiplica</t>
  </si>
  <si>
    <t>%</t>
  </si>
  <si>
    <t>Porcentaje (Divide entre 100)</t>
  </si>
  <si>
    <t>&amp;</t>
  </si>
  <si>
    <t>Concatenar</t>
  </si>
  <si>
    <t>Multiplicación</t>
  </si>
  <si>
    <t>^</t>
  </si>
  <si>
    <t>Elevar a</t>
  </si>
  <si>
    <t>=</t>
  </si>
  <si>
    <t>Igual</t>
  </si>
  <si>
    <t>División</t>
  </si>
  <si>
    <t>&gt;</t>
  </si>
  <si>
    <t>Mayor que</t>
  </si>
  <si>
    <t>&lt;</t>
  </si>
  <si>
    <t>Menor que</t>
  </si>
  <si>
    <t>Porcentaje</t>
  </si>
  <si>
    <t>&gt;=</t>
  </si>
  <si>
    <t>Mayor o igual que</t>
  </si>
  <si>
    <t>&lt;=</t>
  </si>
  <si>
    <t>Menor o Igual que</t>
  </si>
  <si>
    <t>&lt;&gt;</t>
  </si>
  <si>
    <t>No igual a</t>
  </si>
  <si>
    <t>Ejemplo: Absoluta</t>
  </si>
  <si>
    <t>Ejemplo Relativa</t>
  </si>
  <si>
    <t xml:space="preserve">Matrices, Rangos </t>
  </si>
  <si>
    <t>NOMBRE</t>
  </si>
  <si>
    <t>SUELDO USD</t>
  </si>
  <si>
    <t>SUELDO MXN</t>
  </si>
  <si>
    <t>Número de personas</t>
  </si>
  <si>
    <t>Dato 2</t>
  </si>
  <si>
    <t xml:space="preserve">Cálculo </t>
  </si>
  <si>
    <t>Juan Ramírez</t>
  </si>
  <si>
    <t>Pamela Vasquez</t>
  </si>
  <si>
    <t>Luis M. Perez</t>
  </si>
  <si>
    <t>Adriana Campos</t>
  </si>
  <si>
    <t>Eugenia Alfaro</t>
  </si>
  <si>
    <t>Vinicio Jimenez</t>
  </si>
  <si>
    <t>Geovanna Perez</t>
  </si>
  <si>
    <t>Dinia Meza</t>
  </si>
  <si>
    <t>William Monge</t>
  </si>
  <si>
    <t>Victor Rojas</t>
  </si>
  <si>
    <t>PRECIO DÓLAR</t>
  </si>
  <si>
    <t>X</t>
  </si>
  <si>
    <t>Ejemplo Mixta</t>
  </si>
  <si>
    <t>Fecha</t>
  </si>
  <si>
    <t>Venta</t>
  </si>
  <si>
    <t>Comisión de Venta</t>
  </si>
  <si>
    <t>Comisión de Crédito</t>
  </si>
  <si>
    <t>IVA</t>
  </si>
  <si>
    <t>Total</t>
  </si>
  <si>
    <t>Comisión Venta</t>
  </si>
  <si>
    <t>Comisión Crédito</t>
  </si>
  <si>
    <t>Simulador de precios por dimensiones</t>
  </si>
  <si>
    <t>Ancho</t>
  </si>
  <si>
    <t>Largo</t>
  </si>
  <si>
    <t>Nº DE CAJAS</t>
  </si>
  <si>
    <t>DESCRIPCIÓN</t>
  </si>
  <si>
    <t>PRECIO CAJA</t>
  </si>
  <si>
    <t>TOTAL IMPORTE</t>
  </si>
  <si>
    <t>FOLIOS</t>
  </si>
  <si>
    <t>LAPICEROS</t>
  </si>
  <si>
    <t>BOLIGRAFOS</t>
  </si>
  <si>
    <t>SOBRES</t>
  </si>
  <si>
    <t>PAPEL DE CARTA</t>
  </si>
  <si>
    <t>ETIQUETAS</t>
  </si>
  <si>
    <t>A4</t>
  </si>
  <si>
    <t>A3</t>
  </si>
  <si>
    <t>TOTAL BRUTO</t>
  </si>
  <si>
    <t>DESCUENTO (2.5%)</t>
  </si>
  <si>
    <t>IVA (16%)</t>
  </si>
  <si>
    <t>TOTAL IVA INCLUIDO</t>
  </si>
  <si>
    <t>3+5*2</t>
  </si>
  <si>
    <t>Alt + Shift + 0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</si>
</sst>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"/>
    <numFmt numFmtId="165" formatCode="&quot;$&quot;#,##0.00;[Red]\-&quot;$&quot;#,##0.00"/>
    <numFmt numFmtId="166" formatCode="&quot;$&quot;#,##0.00_);[Red]\(&quot;$&quot;#,##0.00\)"/>
    <numFmt numFmtId="167" formatCode="&quot;$&quot;#,##0.00;[Red]&quot;$&quot;#,##0.00"/>
  </numFmts>
  <fonts count="25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2"/>
      <color theme="0"/>
      <name val="IBM Plex Sans"/>
    </font>
    <font>
      <b/>
      <sz val="11"/>
      <color theme="1"/>
      <name val="IBM Plex Sans"/>
    </font>
    <font>
      <sz val="12"/>
      <color theme="1"/>
      <name val="IBM Plex Sans"/>
    </font>
    <font>
      <b/>
      <sz val="12"/>
      <color theme="1"/>
      <name val="IBM Plex Sans"/>
    </font>
    <font>
      <sz val="11"/>
      <name val="Aptos Narrow"/>
    </font>
    <font>
      <b/>
      <sz val="10"/>
      <color theme="0"/>
      <name val="IBM Plex Sans"/>
    </font>
    <font>
      <b/>
      <sz val="10"/>
      <color rgb="FF333333"/>
      <name val="IBM Plex Sans"/>
    </font>
    <font>
      <sz val="10"/>
      <color rgb="FF333333"/>
      <name val="IBM Plex Sans"/>
    </font>
    <font>
      <sz val="10"/>
      <color theme="1"/>
      <name val="IBM Plex Sans"/>
    </font>
    <font>
      <b/>
      <sz val="14"/>
      <color theme="1"/>
      <name val="IBM Plex Sans"/>
    </font>
    <font>
      <b/>
      <sz val="11"/>
      <color theme="0"/>
      <name val="IBM Plex Sans"/>
    </font>
    <font>
      <b/>
      <sz val="10"/>
      <color theme="1"/>
      <name val="IBM Plex Sans"/>
    </font>
    <font>
      <sz val="28"/>
      <color theme="1"/>
      <name val="IBM Plex Sans"/>
    </font>
    <font>
      <u/>
      <sz val="11"/>
      <color theme="1"/>
      <name val="IBM Plex Sans"/>
      <family val="2"/>
    </font>
    <font>
      <b/>
      <sz val="10"/>
      <color theme="0"/>
      <name val="IBM Plex Sans"/>
      <family val="2"/>
    </font>
    <font>
      <u val="singleAccounting"/>
      <sz val="10"/>
      <color rgb="FF333333"/>
      <name val="IBM Plex Sans"/>
      <family val="2"/>
    </font>
    <font>
      <sz val="11"/>
      <color theme="1"/>
      <name val="IBM Plex Sans"/>
      <family val="2"/>
    </font>
    <font>
      <sz val="1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262626"/>
        <bgColor rgb="FF262626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227848"/>
      </left>
      <right style="thin">
        <color rgb="FF227848"/>
      </right>
      <top style="thin">
        <color rgb="FF227848"/>
      </top>
      <bottom style="thin">
        <color theme="0"/>
      </bottom>
      <diagonal/>
    </border>
    <border>
      <left/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227848"/>
      </left>
      <right style="thin">
        <color rgb="FF227848"/>
      </right>
      <top style="thin">
        <color theme="0"/>
      </top>
      <bottom style="thin">
        <color theme="0"/>
      </bottom>
      <diagonal/>
    </border>
    <border>
      <left style="thin">
        <color rgb="FF227848"/>
      </left>
      <right style="thin">
        <color rgb="FF227848"/>
      </right>
      <top style="thin">
        <color theme="0"/>
      </top>
      <bottom style="thin">
        <color rgb="FF227848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2" xfId="0" applyFont="1" applyFill="1" applyBorder="1"/>
    <xf numFmtId="0" fontId="8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4" borderId="7" xfId="0" applyFont="1" applyFill="1" applyBorder="1"/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/>
    <xf numFmtId="0" fontId="6" fillId="0" borderId="10" xfId="0" applyFont="1" applyBorder="1"/>
    <xf numFmtId="0" fontId="6" fillId="0" borderId="11" xfId="0" applyFont="1" applyBorder="1"/>
    <xf numFmtId="0" fontId="6" fillId="4" borderId="12" xfId="0" applyFont="1" applyFill="1" applyBorder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/>
    <xf numFmtId="0" fontId="9" fillId="0" borderId="0" xfId="0" applyFont="1"/>
    <xf numFmtId="0" fontId="6" fillId="0" borderId="15" xfId="0" applyFont="1" applyBorder="1"/>
    <xf numFmtId="0" fontId="6" fillId="0" borderId="16" xfId="0" applyFont="1" applyBorder="1"/>
    <xf numFmtId="0" fontId="6" fillId="4" borderId="17" xfId="0" applyFont="1" applyFill="1" applyBorder="1"/>
    <xf numFmtId="0" fontId="10" fillId="0" borderId="0" xfId="0" applyFont="1"/>
    <xf numFmtId="9" fontId="6" fillId="0" borderId="16" xfId="0" applyNumberFormat="1" applyFont="1" applyBorder="1"/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8" fillId="0" borderId="0" xfId="0" applyFont="1" applyAlignment="1">
      <alignment horizontal="center"/>
    </xf>
    <xf numFmtId="0" fontId="12" fillId="6" borderId="23" xfId="0" applyFont="1" applyFill="1" applyBorder="1" applyAlignment="1">
      <alignment horizontal="center" vertical="center" wrapText="1"/>
    </xf>
    <xf numFmtId="164" fontId="13" fillId="0" borderId="23" xfId="0" applyNumberFormat="1" applyFont="1" applyBorder="1" applyAlignment="1">
      <alignment horizontal="left" vertical="center"/>
    </xf>
    <xf numFmtId="164" fontId="14" fillId="0" borderId="23" xfId="0" applyNumberFormat="1" applyFont="1" applyBorder="1" applyAlignment="1">
      <alignment horizontal="left" vertical="center" wrapText="1"/>
    </xf>
    <xf numFmtId="1" fontId="13" fillId="0" borderId="23" xfId="0" applyNumberFormat="1" applyFont="1" applyBorder="1" applyAlignment="1">
      <alignment horizontal="left" vertical="center" wrapText="1"/>
    </xf>
    <xf numFmtId="0" fontId="15" fillId="0" borderId="0" xfId="0" applyFont="1"/>
    <xf numFmtId="0" fontId="12" fillId="6" borderId="23" xfId="0" applyFont="1" applyFill="1" applyBorder="1" applyAlignment="1">
      <alignment horizontal="left" vertical="center"/>
    </xf>
    <xf numFmtId="164" fontId="14" fillId="0" borderId="23" xfId="0" applyNumberFormat="1" applyFont="1" applyBorder="1" applyAlignment="1">
      <alignment horizontal="left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7" fillId="6" borderId="1" xfId="0" applyFont="1" applyFill="1" applyBorder="1"/>
    <xf numFmtId="0" fontId="8" fillId="7" borderId="1" xfId="0" applyFont="1" applyFill="1" applyBorder="1"/>
    <xf numFmtId="9" fontId="8" fillId="7" borderId="1" xfId="0" applyNumberFormat="1" applyFont="1" applyFill="1" applyBorder="1"/>
    <xf numFmtId="14" fontId="6" fillId="0" borderId="0" xfId="0" applyNumberFormat="1" applyFont="1"/>
    <xf numFmtId="165" fontId="6" fillId="4" borderId="1" xfId="0" applyNumberFormat="1" applyFont="1" applyFill="1" applyBorder="1"/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7" fillId="3" borderId="1" xfId="0" applyFont="1" applyFill="1" applyBorder="1"/>
    <xf numFmtId="0" fontId="15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/>
    </xf>
    <xf numFmtId="166" fontId="15" fillId="0" borderId="36" xfId="0" applyNumberFormat="1" applyFont="1" applyBorder="1"/>
    <xf numFmtId="167" fontId="15" fillId="4" borderId="36" xfId="0" applyNumberFormat="1" applyFont="1" applyFill="1" applyBorder="1"/>
    <xf numFmtId="0" fontId="12" fillId="3" borderId="37" xfId="0" applyFont="1" applyFill="1" applyBorder="1" applyAlignment="1">
      <alignment horizontal="center"/>
    </xf>
    <xf numFmtId="167" fontId="15" fillId="0" borderId="38" xfId="0" applyNumberFormat="1" applyFont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167" fontId="18" fillId="0" borderId="38" xfId="0" applyNumberFormat="1" applyFont="1" applyBorder="1" applyAlignment="1">
      <alignment horizontal="center"/>
    </xf>
    <xf numFmtId="0" fontId="19" fillId="0" borderId="0" xfId="0" applyFont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8" fillId="0" borderId="22" xfId="0" applyFont="1" applyBorder="1" applyAlignment="1">
      <alignment horizontal="center"/>
    </xf>
    <xf numFmtId="0" fontId="11" fillId="0" borderId="22" xfId="0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textRotation="90"/>
    </xf>
    <xf numFmtId="0" fontId="20" fillId="0" borderId="0" xfId="0" applyFont="1"/>
    <xf numFmtId="0" fontId="21" fillId="6" borderId="23" xfId="0" applyFont="1" applyFill="1" applyBorder="1" applyAlignment="1">
      <alignment horizontal="center" vertical="center" wrapText="1"/>
    </xf>
    <xf numFmtId="164" fontId="22" fillId="0" borderId="23" xfId="0" applyNumberFormat="1" applyFont="1" applyBorder="1" applyAlignment="1">
      <alignment horizontal="left" vertical="center" wrapText="1"/>
    </xf>
    <xf numFmtId="0" fontId="23" fillId="0" borderId="0" xfId="0" applyFont="1"/>
    <xf numFmtId="165" fontId="23" fillId="4" borderId="1" xfId="0" applyNumberFormat="1" applyFont="1" applyFill="1" applyBorder="1"/>
    <xf numFmtId="4" fontId="24" fillId="8" borderId="0" xfId="0" applyNumberFormat="1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133350</xdr:rowOff>
    </xdr:from>
    <xdr:ext cx="9315450" cy="742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7800" y="3418050"/>
          <a:ext cx="92964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Operadores Básicos</a:t>
          </a:r>
          <a:endParaRPr sz="3200" b="0">
            <a:solidFill>
              <a:schemeClr val="dk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10</xdr:col>
      <xdr:colOff>695325</xdr:colOff>
      <xdr:row>23</xdr:row>
      <xdr:rowOff>133350</xdr:rowOff>
    </xdr:from>
    <xdr:ext cx="1762125" cy="419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474463" y="3579975"/>
          <a:ext cx="1743075" cy="40005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PRO Tip</a:t>
          </a:r>
          <a:endParaRPr sz="3200" b="1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9</xdr:col>
      <xdr:colOff>180975</xdr:colOff>
      <xdr:row>21</xdr:row>
      <xdr:rowOff>114300</xdr:rowOff>
    </xdr:from>
    <xdr:ext cx="1228725" cy="1190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0</xdr:row>
      <xdr:rowOff>-152400</xdr:rowOff>
    </xdr:from>
    <xdr:ext cx="2190750" cy="22383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11811000" cy="742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3418050"/>
          <a:ext cx="106920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Referencias</a:t>
          </a:r>
          <a:endParaRPr sz="1400"/>
        </a:p>
      </xdr:txBody>
    </xdr:sp>
    <xdr:clientData fLocksWithSheet="0"/>
  </xdr:oneCellAnchor>
  <xdr:oneCellAnchor>
    <xdr:from>
      <xdr:col>9</xdr:col>
      <xdr:colOff>514350</xdr:colOff>
      <xdr:row>2</xdr:row>
      <xdr:rowOff>0</xdr:rowOff>
    </xdr:from>
    <xdr:ext cx="5391150" cy="19907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55188" y="2785590"/>
          <a:ext cx="5381625" cy="1988820"/>
        </a:xfrm>
        <a:prstGeom prst="roundRect">
          <a:avLst>
            <a:gd name="adj" fmla="val 16667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Referencias en Excel: 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endParaRPr sz="2000" b="1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Relativas: A1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Absolutas: $A$1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Mixtas: $A1  A$1</a:t>
          </a:r>
          <a:endParaRPr sz="20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9</xdr:col>
      <xdr:colOff>666750</xdr:colOff>
      <xdr:row>14</xdr:row>
      <xdr:rowOff>-9525</xdr:rowOff>
    </xdr:from>
    <xdr:ext cx="771525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fn</a:t>
          </a:r>
          <a:endParaRPr sz="1400"/>
        </a:p>
      </xdr:txBody>
    </xdr:sp>
    <xdr:clientData fLocksWithSheet="0"/>
  </xdr:oneCellAnchor>
  <xdr:oneCellAnchor>
    <xdr:from>
      <xdr:col>11</xdr:col>
      <xdr:colOff>352425</xdr:colOff>
      <xdr:row>14</xdr:row>
      <xdr:rowOff>-9525</xdr:rowOff>
    </xdr:from>
    <xdr:ext cx="771525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f4</a:t>
          </a:r>
          <a:endParaRPr sz="1400"/>
        </a:p>
      </xdr:txBody>
    </xdr:sp>
    <xdr:clientData fLocksWithSheet="0"/>
  </xdr:oneCellAnchor>
  <xdr:oneCellAnchor>
    <xdr:from>
      <xdr:col>11</xdr:col>
      <xdr:colOff>361950</xdr:colOff>
      <xdr:row>18</xdr:row>
      <xdr:rowOff>66675</xdr:rowOff>
    </xdr:from>
    <xdr:ext cx="771525" cy="676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f4</a:t>
          </a:r>
          <a:endParaRPr sz="1400"/>
        </a:p>
      </xdr:txBody>
    </xdr:sp>
    <xdr:clientData fLocksWithSheet="0"/>
  </xdr:oneCellAnchor>
  <xdr:oneCellAnchor>
    <xdr:from>
      <xdr:col>13</xdr:col>
      <xdr:colOff>285750</xdr:colOff>
      <xdr:row>13</xdr:row>
      <xdr:rowOff>161925</xdr:rowOff>
    </xdr:from>
    <xdr:ext cx="771525" cy="676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CMD</a:t>
          </a:r>
          <a:endParaRPr sz="1400"/>
        </a:p>
      </xdr:txBody>
    </xdr:sp>
    <xdr:clientData fLocksWithSheet="0"/>
  </xdr:oneCellAnchor>
  <xdr:oneCellAnchor>
    <xdr:from>
      <xdr:col>14</xdr:col>
      <xdr:colOff>762000</xdr:colOff>
      <xdr:row>13</xdr:row>
      <xdr:rowOff>161925</xdr:rowOff>
    </xdr:from>
    <xdr:ext cx="771525" cy="6762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14</xdr:row>
      <xdr:rowOff>161925</xdr:rowOff>
    </xdr:from>
    <xdr:ext cx="276225" cy="2857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12650" y="3641888"/>
          <a:ext cx="266700" cy="276225"/>
        </a:xfrm>
        <a:prstGeom prst="plus">
          <a:avLst>
            <a:gd name="adj" fmla="val 25000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361950</xdr:colOff>
      <xdr:row>14</xdr:row>
      <xdr:rowOff>161925</xdr:rowOff>
    </xdr:from>
    <xdr:ext cx="314325" cy="2857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plus">
          <a:avLst>
            <a:gd name="adj" fmla="val 25000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66675</xdr:rowOff>
    </xdr:from>
    <xdr:ext cx="8582025" cy="7429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64513" y="3418050"/>
          <a:ext cx="8562975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Pro</a:t>
          </a:r>
          <a:r>
            <a:rPr lang="en-US" sz="3200" b="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en Referencias</a:t>
          </a:r>
          <a:endParaRPr sz="1400"/>
        </a:p>
      </xdr:txBody>
    </xdr:sp>
    <xdr:clientData fLocksWithSheet="0"/>
  </xdr:oneCellAnchor>
  <xdr:oneCellAnchor>
    <xdr:from>
      <xdr:col>3</xdr:col>
      <xdr:colOff>542925</xdr:colOff>
      <xdr:row>0</xdr:row>
      <xdr:rowOff>0</xdr:rowOff>
    </xdr:from>
    <xdr:ext cx="172402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1</xdr:row>
      <xdr:rowOff>-9525</xdr:rowOff>
    </xdr:from>
    <xdr:ext cx="6391275" cy="8477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159888" y="3365663"/>
          <a:ext cx="6372225" cy="828675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PRO en Referencias</a:t>
          </a:r>
          <a:endParaRPr sz="1400"/>
        </a:p>
      </xdr:txBody>
    </xdr:sp>
    <xdr:clientData fLocksWithSheet="0"/>
  </xdr:oneCellAnchor>
  <xdr:oneCellAnchor>
    <xdr:from>
      <xdr:col>7</xdr:col>
      <xdr:colOff>361950</xdr:colOff>
      <xdr:row>0</xdr:row>
      <xdr:rowOff>0</xdr:rowOff>
    </xdr:from>
    <xdr:ext cx="1781175" cy="15430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104775</xdr:rowOff>
    </xdr:from>
    <xdr:ext cx="10858500" cy="7429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0" y="3418050"/>
          <a:ext cx="106920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Jerarquía de Operadores</a:t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7</xdr:row>
      <xdr:rowOff>123825</xdr:rowOff>
    </xdr:from>
    <xdr:ext cx="5610225" cy="1390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2545650" y="3089438"/>
          <a:ext cx="5600700" cy="138112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FÓRMULAS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IMPORTE = Nº DE CAJAS * PRECIO CAJA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BRUTO = SUMA DE TOTAL IMPORTE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DESCUENTO = TOTAL BRUTO * 2,5%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IVA = (TOTAL BRUTO - DESCUENTO) * .16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IVA INCLUIDA = (TOTAL BRUTO - DESCUENTO) + IVA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381000</xdr:colOff>
      <xdr:row>16</xdr:row>
      <xdr:rowOff>0</xdr:rowOff>
    </xdr:from>
    <xdr:ext cx="8172450" cy="32289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264538" y="2168370"/>
          <a:ext cx="8162925" cy="322326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La </a:t>
          </a: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jerarquía de operadores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en Excel es el orden en el que se realizan las operaciones en una fórmula. Recordarlo es clave para obtener resultados correctos: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Paréntesis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Se resuelven primero, lo que está dentro de ().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Exponenciación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Luego vienen las potencias (^).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Multiplicación y División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Siguen en orden de izquierda a derecha (*, /).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Suma y Resta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Se realizan al final también de izquierda a derecha (+, -).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b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Ejemplo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En =3 + 5 * 2, Excel primero multiplica 5 por 2, luego suma 3, dando como resultado 13. Para cambiar el orden, usa paréntesis: =(3 + 5) * 2, lo que da 16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1762125</xdr:colOff>
      <xdr:row>0</xdr:row>
      <xdr:rowOff>9525</xdr:rowOff>
    </xdr:from>
    <xdr:ext cx="1504950" cy="13049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Clases/Inform&#225;tica%20IQS/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3" sqref="A13:XFD13"/>
    </sheetView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K30" sqref="K30"/>
    </sheetView>
  </sheetViews>
  <sheetFormatPr baseColWidth="10" defaultColWidth="12.625" defaultRowHeight="15" customHeight="1"/>
  <cols>
    <col min="1" max="1" width="11.5" customWidth="1"/>
    <col min="2" max="2" width="14.375" customWidth="1"/>
    <col min="3" max="3" width="31.375" customWidth="1"/>
    <col min="4" max="5" width="11.5" customWidth="1"/>
    <col min="6" max="6" width="18.5" customWidth="1"/>
    <col min="7" max="9" width="11.5" customWidth="1"/>
    <col min="10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7" t="s">
        <v>5</v>
      </c>
      <c r="C9" s="7" t="s">
        <v>6</v>
      </c>
      <c r="D9" s="6"/>
      <c r="E9" s="6"/>
      <c r="F9" s="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9" t="s">
        <v>7</v>
      </c>
      <c r="C10" s="10" t="s">
        <v>8</v>
      </c>
      <c r="D10" s="6"/>
      <c r="E10" s="6"/>
      <c r="F10" s="7" t="s">
        <v>8</v>
      </c>
      <c r="G10" s="11">
        <v>45</v>
      </c>
      <c r="H10" s="12">
        <v>67</v>
      </c>
      <c r="I10" s="13">
        <f>G10+H10</f>
        <v>112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14" t="s">
        <v>9</v>
      </c>
      <c r="C11" s="15" t="s">
        <v>10</v>
      </c>
      <c r="D11" s="6"/>
      <c r="E11" s="6"/>
      <c r="F11" s="7" t="s">
        <v>8</v>
      </c>
      <c r="G11" s="16">
        <v>56</v>
      </c>
      <c r="H11" s="17">
        <v>89</v>
      </c>
      <c r="I11" s="18">
        <f>SUM(H11,G11)</f>
        <v>145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19" t="s">
        <v>11</v>
      </c>
      <c r="C12" s="20" t="s">
        <v>12</v>
      </c>
      <c r="D12" s="6"/>
      <c r="E12" s="6"/>
      <c r="F12" s="2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14" t="s">
        <v>13</v>
      </c>
      <c r="C13" s="15" t="s">
        <v>14</v>
      </c>
      <c r="D13" s="6"/>
      <c r="E13" s="6"/>
      <c r="F13" s="7" t="s">
        <v>10</v>
      </c>
      <c r="G13" s="22">
        <v>56</v>
      </c>
      <c r="H13" s="23">
        <v>23</v>
      </c>
      <c r="I13" s="24">
        <f>G13-H13</f>
        <v>33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19" t="s">
        <v>15</v>
      </c>
      <c r="C14" s="20" t="s">
        <v>16</v>
      </c>
      <c r="D14" s="6"/>
      <c r="E14" s="6"/>
      <c r="F14" s="2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14" t="s">
        <v>17</v>
      </c>
      <c r="C15" s="15" t="s">
        <v>18</v>
      </c>
      <c r="D15" s="6"/>
      <c r="E15" s="6"/>
      <c r="F15" s="7" t="s">
        <v>19</v>
      </c>
      <c r="G15" s="22">
        <v>45</v>
      </c>
      <c r="H15" s="23">
        <v>4</v>
      </c>
      <c r="I15" s="24">
        <f>G15*H15</f>
        <v>180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19" t="s">
        <v>20</v>
      </c>
      <c r="C16" s="20" t="s">
        <v>21</v>
      </c>
      <c r="D16" s="6"/>
      <c r="E16" s="6"/>
      <c r="F16" s="2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14" t="s">
        <v>22</v>
      </c>
      <c r="C17" s="15" t="s">
        <v>23</v>
      </c>
      <c r="D17" s="6"/>
      <c r="E17" s="6"/>
      <c r="F17" s="7" t="s">
        <v>24</v>
      </c>
      <c r="G17" s="22">
        <v>1478</v>
      </c>
      <c r="H17" s="23">
        <v>20</v>
      </c>
      <c r="I17" s="24">
        <f>G17/H17</f>
        <v>73.900000000000006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19" t="s">
        <v>25</v>
      </c>
      <c r="C18" s="20" t="s">
        <v>26</v>
      </c>
      <c r="D18" s="6"/>
      <c r="E18" s="6"/>
      <c r="F18" s="2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14" t="s">
        <v>27</v>
      </c>
      <c r="C19" s="15" t="s">
        <v>28</v>
      </c>
      <c r="D19" s="6"/>
      <c r="E19" s="6"/>
      <c r="F19" s="7" t="s">
        <v>29</v>
      </c>
      <c r="G19" s="22">
        <v>6000</v>
      </c>
      <c r="H19" s="23">
        <v>3</v>
      </c>
      <c r="I19" s="24">
        <f>G19*H19%</f>
        <v>180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19" t="s">
        <v>30</v>
      </c>
      <c r="C20" s="20" t="s">
        <v>31</v>
      </c>
      <c r="D20" s="6"/>
      <c r="E20" s="6"/>
      <c r="F20" s="7" t="s">
        <v>29</v>
      </c>
      <c r="G20" s="22">
        <v>8000</v>
      </c>
      <c r="H20" s="26">
        <v>0.75</v>
      </c>
      <c r="I20" s="24">
        <f>G20*H20</f>
        <v>6000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14" t="s">
        <v>32</v>
      </c>
      <c r="C21" s="15" t="s">
        <v>33</v>
      </c>
      <c r="D21" s="6"/>
      <c r="E21" s="6"/>
      <c r="F21" s="2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27" t="s">
        <v>34</v>
      </c>
      <c r="C22" s="28" t="s">
        <v>35</v>
      </c>
      <c r="D22" s="6"/>
      <c r="E22" s="6"/>
      <c r="F22" s="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6"/>
      <c r="D23" s="6"/>
      <c r="E23" s="6"/>
      <c r="F23" s="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2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7" t="s">
        <v>8</v>
      </c>
      <c r="G26" s="29">
        <v>45</v>
      </c>
      <c r="H26" s="30">
        <v>67</v>
      </c>
      <c r="I26" s="24">
        <f>SUM(G26:H26)</f>
        <v>112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 t="s">
        <v>86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7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6" workbookViewId="0">
      <selection activeCell="D29" sqref="D29"/>
    </sheetView>
  </sheetViews>
  <sheetFormatPr baseColWidth="10" defaultColWidth="12.625" defaultRowHeight="15" customHeight="1"/>
  <cols>
    <col min="1" max="1" width="11.5" customWidth="1"/>
    <col min="2" max="2" width="17.625" customWidth="1"/>
    <col min="3" max="3" width="13" customWidth="1"/>
    <col min="4" max="4" width="15.375" customWidth="1"/>
    <col min="5" max="6" width="11.5" customWidth="1"/>
    <col min="7" max="7" width="13" customWidth="1"/>
    <col min="8" max="9" width="11.5" customWidth="1"/>
    <col min="10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9" t="s">
        <v>36</v>
      </c>
      <c r="C9" s="70"/>
      <c r="D9" s="70"/>
      <c r="E9" s="6"/>
      <c r="F9" s="6"/>
      <c r="G9" s="69" t="s">
        <v>37</v>
      </c>
      <c r="H9" s="70"/>
      <c r="I9" s="70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71" t="s">
        <v>38</v>
      </c>
      <c r="C10" s="72"/>
      <c r="D10" s="7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3.25" customHeight="1">
      <c r="A11" s="6"/>
      <c r="B11" s="32" t="s">
        <v>39</v>
      </c>
      <c r="C11" s="32" t="s">
        <v>40</v>
      </c>
      <c r="D11" s="76" t="s">
        <v>41</v>
      </c>
      <c r="E11" s="6"/>
      <c r="F11" s="6"/>
      <c r="G11" s="32" t="s">
        <v>42</v>
      </c>
      <c r="H11" s="32" t="s">
        <v>43</v>
      </c>
      <c r="I11" s="32" t="s">
        <v>44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3" t="s">
        <v>45</v>
      </c>
      <c r="C12" s="34">
        <v>300</v>
      </c>
      <c r="D12" s="34">
        <f>C12*$C$24</f>
        <v>6600</v>
      </c>
      <c r="E12" s="6"/>
      <c r="F12" s="6"/>
      <c r="G12" s="35">
        <v>1</v>
      </c>
      <c r="H12" s="34">
        <v>10</v>
      </c>
      <c r="I12" s="77">
        <f>G12*H12</f>
        <v>10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3" t="s">
        <v>46</v>
      </c>
      <c r="C13" s="34">
        <v>400</v>
      </c>
      <c r="D13" s="34">
        <f t="shared" ref="D13:D21" si="0">C13*$C$24</f>
        <v>8800</v>
      </c>
      <c r="E13" s="6"/>
      <c r="F13" s="6"/>
      <c r="G13" s="35">
        <v>2</v>
      </c>
      <c r="H13" s="34">
        <v>9</v>
      </c>
      <c r="I13" s="77">
        <f t="shared" ref="I13:I21" si="1">G13*H13</f>
        <v>18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3" t="s">
        <v>47</v>
      </c>
      <c r="C14" s="34">
        <v>200</v>
      </c>
      <c r="D14" s="34">
        <f t="shared" si="0"/>
        <v>4400</v>
      </c>
      <c r="E14" s="6"/>
      <c r="F14" s="6"/>
      <c r="G14" s="35">
        <v>3</v>
      </c>
      <c r="H14" s="34">
        <v>8</v>
      </c>
      <c r="I14" s="77">
        <f t="shared" si="1"/>
        <v>24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3" t="s">
        <v>48</v>
      </c>
      <c r="C15" s="34">
        <v>120</v>
      </c>
      <c r="D15" s="34">
        <f t="shared" si="0"/>
        <v>2640</v>
      </c>
      <c r="E15" s="6"/>
      <c r="F15" s="6"/>
      <c r="G15" s="35">
        <v>4</v>
      </c>
      <c r="H15" s="34">
        <v>7</v>
      </c>
      <c r="I15" s="77">
        <f t="shared" si="1"/>
        <v>28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3" t="s">
        <v>49</v>
      </c>
      <c r="C16" s="34">
        <v>150</v>
      </c>
      <c r="D16" s="34">
        <f t="shared" si="0"/>
        <v>3300</v>
      </c>
      <c r="E16" s="6"/>
      <c r="F16" s="6"/>
      <c r="G16" s="35">
        <v>5</v>
      </c>
      <c r="H16" s="34">
        <v>6</v>
      </c>
      <c r="I16" s="77">
        <f t="shared" si="1"/>
        <v>30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33" t="s">
        <v>50</v>
      </c>
      <c r="C17" s="34">
        <v>100</v>
      </c>
      <c r="D17" s="34">
        <f t="shared" si="0"/>
        <v>2200</v>
      </c>
      <c r="E17" s="6"/>
      <c r="F17" s="6"/>
      <c r="G17" s="35">
        <v>6</v>
      </c>
      <c r="H17" s="34">
        <v>5</v>
      </c>
      <c r="I17" s="77">
        <f t="shared" si="1"/>
        <v>30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33" t="s">
        <v>51</v>
      </c>
      <c r="C18" s="34">
        <v>500</v>
      </c>
      <c r="D18" s="34">
        <f t="shared" si="0"/>
        <v>11000</v>
      </c>
      <c r="E18" s="6"/>
      <c r="F18" s="6"/>
      <c r="G18" s="35">
        <v>7</v>
      </c>
      <c r="H18" s="34">
        <v>4</v>
      </c>
      <c r="I18" s="77">
        <f t="shared" si="1"/>
        <v>28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33" t="s">
        <v>52</v>
      </c>
      <c r="C19" s="34">
        <v>320</v>
      </c>
      <c r="D19" s="34">
        <f t="shared" si="0"/>
        <v>7040</v>
      </c>
      <c r="E19" s="6"/>
      <c r="F19" s="6"/>
      <c r="G19" s="35">
        <v>8</v>
      </c>
      <c r="H19" s="34">
        <v>3</v>
      </c>
      <c r="I19" s="77">
        <f t="shared" si="1"/>
        <v>24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33" t="s">
        <v>53</v>
      </c>
      <c r="C20" s="34">
        <v>300</v>
      </c>
      <c r="D20" s="34">
        <f t="shared" si="0"/>
        <v>6600</v>
      </c>
      <c r="E20" s="6"/>
      <c r="F20" s="6"/>
      <c r="G20" s="35">
        <v>9</v>
      </c>
      <c r="H20" s="34">
        <v>2</v>
      </c>
      <c r="I20" s="77">
        <f t="shared" si="1"/>
        <v>18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33" t="s">
        <v>54</v>
      </c>
      <c r="C21" s="34">
        <v>180</v>
      </c>
      <c r="D21" s="34">
        <f t="shared" si="0"/>
        <v>3960</v>
      </c>
      <c r="E21" s="6"/>
      <c r="F21" s="6"/>
      <c r="G21" s="35">
        <v>10</v>
      </c>
      <c r="H21" s="34">
        <v>1</v>
      </c>
      <c r="I21" s="77">
        <f t="shared" si="1"/>
        <v>10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36"/>
      <c r="C22" s="36"/>
      <c r="D22" s="3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36"/>
      <c r="D23" s="3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37" t="s">
        <v>55</v>
      </c>
      <c r="C24" s="38">
        <v>22</v>
      </c>
      <c r="D24" s="3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39">
        <v>2</v>
      </c>
      <c r="E29" s="6"/>
      <c r="F29" s="40">
        <v>1</v>
      </c>
      <c r="G29" s="41">
        <v>2</v>
      </c>
      <c r="H29" s="41">
        <v>3</v>
      </c>
      <c r="I29" s="42">
        <v>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43">
        <v>4</v>
      </c>
      <c r="E30" s="6"/>
      <c r="F30" s="44">
        <v>1</v>
      </c>
      <c r="G30" s="45">
        <v>2</v>
      </c>
      <c r="H30" s="45">
        <v>3</v>
      </c>
      <c r="I30" s="46">
        <v>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43">
        <v>5</v>
      </c>
      <c r="E31" s="31" t="s">
        <v>56</v>
      </c>
      <c r="F31" s="44">
        <v>1</v>
      </c>
      <c r="G31" s="45">
        <v>2</v>
      </c>
      <c r="H31" s="45">
        <v>3</v>
      </c>
      <c r="I31" s="46">
        <v>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9" t="s">
        <v>57</v>
      </c>
      <c r="B32" s="70"/>
      <c r="C32" s="70"/>
      <c r="D32" s="43">
        <v>6</v>
      </c>
      <c r="E32" s="6"/>
      <c r="F32" s="44">
        <v>1</v>
      </c>
      <c r="G32" s="45">
        <v>2</v>
      </c>
      <c r="H32" s="45">
        <v>3</v>
      </c>
      <c r="I32" s="46">
        <v>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47">
        <v>8</v>
      </c>
      <c r="E33" s="6"/>
      <c r="F33" s="48">
        <v>1</v>
      </c>
      <c r="G33" s="49">
        <v>2</v>
      </c>
      <c r="H33" s="49">
        <v>3</v>
      </c>
      <c r="I33" s="50">
        <v>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B9:D9"/>
    <mergeCell ref="G9:I9"/>
    <mergeCell ref="B10:D10"/>
    <mergeCell ref="A32:C3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F491"/>
  </sheetPr>
  <dimension ref="A1:Z1000"/>
  <sheetViews>
    <sheetView showGridLines="0" topLeftCell="A7" workbookViewId="0">
      <selection activeCell="E14" sqref="E14"/>
    </sheetView>
  </sheetViews>
  <sheetFormatPr baseColWidth="10" defaultColWidth="12.625" defaultRowHeight="15" customHeight="1"/>
  <cols>
    <col min="1" max="1" width="12.625" customWidth="1"/>
    <col min="2" max="2" width="17.25" customWidth="1"/>
    <col min="3" max="3" width="21.875" customWidth="1"/>
    <col min="4" max="4" width="23" customWidth="1"/>
    <col min="5" max="5" width="18.625" customWidth="1"/>
    <col min="6" max="7" width="9.125" customWidth="1"/>
    <col min="8" max="8" width="18.875" customWidth="1"/>
    <col min="9" max="9" width="5.5" customWidth="1"/>
    <col min="10" max="10" width="9.125" customWidth="1"/>
    <col min="11" max="11" width="14.5" customWidth="1"/>
    <col min="12" max="12" width="19" customWidth="1"/>
    <col min="13" max="13" width="9.375" customWidth="1"/>
    <col min="14" max="26" width="9.1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51" t="s">
        <v>58</v>
      </c>
      <c r="B10" s="51" t="s">
        <v>59</v>
      </c>
      <c r="C10" s="51" t="s">
        <v>60</v>
      </c>
      <c r="D10" s="51" t="s">
        <v>61</v>
      </c>
      <c r="E10" s="51" t="s">
        <v>62</v>
      </c>
      <c r="F10" s="51" t="s">
        <v>63</v>
      </c>
      <c r="G10" s="6"/>
      <c r="H10" s="52" t="s">
        <v>64</v>
      </c>
      <c r="I10" s="53">
        <v>0.04</v>
      </c>
      <c r="J10" s="6"/>
      <c r="K10" s="52" t="s">
        <v>64</v>
      </c>
      <c r="L10" s="52" t="s">
        <v>65</v>
      </c>
      <c r="M10" s="52" t="s">
        <v>62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54">
        <f t="shared" ref="A11:A62" ca="1" si="0">TODAY()-RANDBETWEEN(1,60)</f>
        <v>46002</v>
      </c>
      <c r="B11" s="80">
        <v>2653</v>
      </c>
      <c r="C11" s="79">
        <f>$B11*K$11</f>
        <v>106.12</v>
      </c>
      <c r="D11" s="79">
        <f t="shared" ref="D11:D62" si="1">$B11*L$11</f>
        <v>291.83</v>
      </c>
      <c r="E11" s="79">
        <f t="shared" ref="E11:E62" si="2">$B11*M$11</f>
        <v>424.48</v>
      </c>
      <c r="F11" s="55"/>
      <c r="G11" s="6"/>
      <c r="H11" s="52" t="s">
        <v>65</v>
      </c>
      <c r="I11" s="53">
        <v>0.11</v>
      </c>
      <c r="J11" s="6"/>
      <c r="K11" s="53">
        <v>0.04</v>
      </c>
      <c r="L11" s="53">
        <v>0.11</v>
      </c>
      <c r="M11" s="53">
        <v>0.16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54">
        <f t="shared" ca="1" si="0"/>
        <v>45998</v>
      </c>
      <c r="B12" s="80">
        <v>3066</v>
      </c>
      <c r="C12" s="79">
        <f t="shared" ref="C12:C62" si="3">$B12*K$11</f>
        <v>122.64</v>
      </c>
      <c r="D12" s="79">
        <f t="shared" si="1"/>
        <v>337.26</v>
      </c>
      <c r="E12" s="79">
        <f t="shared" si="2"/>
        <v>490.56</v>
      </c>
      <c r="F12" s="55"/>
      <c r="G12" s="6"/>
      <c r="H12" s="52" t="s">
        <v>62</v>
      </c>
      <c r="I12" s="53">
        <v>0.16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54">
        <f t="shared" ca="1" si="0"/>
        <v>46018</v>
      </c>
      <c r="B13" s="80">
        <v>1861</v>
      </c>
      <c r="C13" s="79">
        <f t="shared" si="3"/>
        <v>74.44</v>
      </c>
      <c r="D13" s="79">
        <f t="shared" si="1"/>
        <v>204.71</v>
      </c>
      <c r="E13" s="79">
        <f t="shared" si="2"/>
        <v>297.76</v>
      </c>
      <c r="F13" s="5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54">
        <f t="shared" ca="1" si="0"/>
        <v>45981</v>
      </c>
      <c r="B14" s="80">
        <v>2364</v>
      </c>
      <c r="C14" s="79">
        <f t="shared" si="3"/>
        <v>94.56</v>
      </c>
      <c r="D14" s="79">
        <f t="shared" si="1"/>
        <v>260.04000000000002</v>
      </c>
      <c r="E14" s="79">
        <f t="shared" si="2"/>
        <v>378.24</v>
      </c>
      <c r="F14" s="5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54">
        <f t="shared" ca="1" si="0"/>
        <v>46030</v>
      </c>
      <c r="B15" s="80">
        <v>3006</v>
      </c>
      <c r="C15" s="79">
        <f t="shared" si="3"/>
        <v>120.24000000000001</v>
      </c>
      <c r="D15" s="79">
        <f t="shared" si="1"/>
        <v>330.66</v>
      </c>
      <c r="E15" s="79">
        <f t="shared" si="2"/>
        <v>480.96000000000004</v>
      </c>
      <c r="F15" s="5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54">
        <f t="shared" ca="1" si="0"/>
        <v>46009</v>
      </c>
      <c r="B16" s="80">
        <v>2615</v>
      </c>
      <c r="C16" s="79">
        <f t="shared" si="3"/>
        <v>104.60000000000001</v>
      </c>
      <c r="D16" s="79">
        <f t="shared" si="1"/>
        <v>287.64999999999998</v>
      </c>
      <c r="E16" s="79">
        <f t="shared" si="2"/>
        <v>418.40000000000003</v>
      </c>
      <c r="F16" s="55"/>
      <c r="G16" s="6"/>
      <c r="H16" s="6"/>
      <c r="I16" s="7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54">
        <f t="shared" ca="1" si="0"/>
        <v>46008</v>
      </c>
      <c r="B17" s="80">
        <v>3567</v>
      </c>
      <c r="C17" s="79">
        <f t="shared" si="3"/>
        <v>142.68</v>
      </c>
      <c r="D17" s="79">
        <f t="shared" si="1"/>
        <v>392.37</v>
      </c>
      <c r="E17" s="79">
        <f t="shared" si="2"/>
        <v>570.72</v>
      </c>
      <c r="F17" s="55"/>
      <c r="G17" s="6"/>
      <c r="H17" s="6"/>
      <c r="I17" s="7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54">
        <f t="shared" ca="1" si="0"/>
        <v>46014</v>
      </c>
      <c r="B18" s="80">
        <v>3222</v>
      </c>
      <c r="C18" s="79">
        <f t="shared" si="3"/>
        <v>128.88</v>
      </c>
      <c r="D18" s="79">
        <f t="shared" si="1"/>
        <v>354.42</v>
      </c>
      <c r="E18" s="79">
        <f t="shared" si="2"/>
        <v>515.52</v>
      </c>
      <c r="F18" s="55"/>
      <c r="G18" s="6"/>
      <c r="H18" s="6"/>
      <c r="I18" s="7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54">
        <f t="shared" ca="1" si="0"/>
        <v>46022</v>
      </c>
      <c r="B19" s="80">
        <v>4259</v>
      </c>
      <c r="C19" s="79">
        <f t="shared" si="3"/>
        <v>170.36</v>
      </c>
      <c r="D19" s="79">
        <f t="shared" si="1"/>
        <v>468.49</v>
      </c>
      <c r="E19" s="79">
        <f t="shared" si="2"/>
        <v>681.44</v>
      </c>
      <c r="F19" s="55"/>
      <c r="G19" s="6"/>
      <c r="H19" s="6"/>
      <c r="I19" s="78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54">
        <f t="shared" ca="1" si="0"/>
        <v>46013</v>
      </c>
      <c r="B20" s="80">
        <v>2020</v>
      </c>
      <c r="C20" s="79">
        <f t="shared" si="3"/>
        <v>80.8</v>
      </c>
      <c r="D20" s="79">
        <f t="shared" si="1"/>
        <v>222.2</v>
      </c>
      <c r="E20" s="79">
        <f t="shared" si="2"/>
        <v>323.2</v>
      </c>
      <c r="F20" s="5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54">
        <f t="shared" ca="1" si="0"/>
        <v>45989</v>
      </c>
      <c r="B21" s="80">
        <v>2063</v>
      </c>
      <c r="C21" s="79">
        <f t="shared" si="3"/>
        <v>82.52</v>
      </c>
      <c r="D21" s="79">
        <f t="shared" si="1"/>
        <v>226.93</v>
      </c>
      <c r="E21" s="79">
        <f t="shared" si="2"/>
        <v>330.08</v>
      </c>
      <c r="F21" s="5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54">
        <f t="shared" ca="1" si="0"/>
        <v>46018</v>
      </c>
      <c r="B22" s="80">
        <v>4643</v>
      </c>
      <c r="C22" s="79">
        <f t="shared" si="3"/>
        <v>185.72</v>
      </c>
      <c r="D22" s="79">
        <f t="shared" si="1"/>
        <v>510.73</v>
      </c>
      <c r="E22" s="79">
        <f t="shared" si="2"/>
        <v>742.88</v>
      </c>
      <c r="F22" s="5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54">
        <f t="shared" ca="1" si="0"/>
        <v>46036</v>
      </c>
      <c r="B23" s="80">
        <v>3473</v>
      </c>
      <c r="C23" s="79">
        <f t="shared" si="3"/>
        <v>138.92000000000002</v>
      </c>
      <c r="D23" s="79">
        <f t="shared" si="1"/>
        <v>382.03000000000003</v>
      </c>
      <c r="E23" s="79">
        <f t="shared" si="2"/>
        <v>555.68000000000006</v>
      </c>
      <c r="F23" s="5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54">
        <f t="shared" ca="1" si="0"/>
        <v>45983</v>
      </c>
      <c r="B24" s="81">
        <v>829</v>
      </c>
      <c r="C24" s="79">
        <f t="shared" si="3"/>
        <v>33.160000000000004</v>
      </c>
      <c r="D24" s="79">
        <f t="shared" si="1"/>
        <v>91.19</v>
      </c>
      <c r="E24" s="79">
        <f t="shared" si="2"/>
        <v>132.64000000000001</v>
      </c>
      <c r="F24" s="5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54">
        <f t="shared" ca="1" si="0"/>
        <v>46005</v>
      </c>
      <c r="B25" s="80">
        <v>3825</v>
      </c>
      <c r="C25" s="79">
        <f t="shared" si="3"/>
        <v>153</v>
      </c>
      <c r="D25" s="79">
        <f t="shared" si="1"/>
        <v>420.75</v>
      </c>
      <c r="E25" s="79">
        <f t="shared" si="2"/>
        <v>612</v>
      </c>
      <c r="F25" s="5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54">
        <f t="shared" ca="1" si="0"/>
        <v>46001</v>
      </c>
      <c r="B26" s="80">
        <v>3257</v>
      </c>
      <c r="C26" s="79">
        <f t="shared" si="3"/>
        <v>130.28</v>
      </c>
      <c r="D26" s="79">
        <f t="shared" si="1"/>
        <v>358.27</v>
      </c>
      <c r="E26" s="79">
        <f t="shared" si="2"/>
        <v>521.12</v>
      </c>
      <c r="F26" s="5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54">
        <f t="shared" ca="1" si="0"/>
        <v>45992</v>
      </c>
      <c r="B27" s="80">
        <v>3378</v>
      </c>
      <c r="C27" s="79">
        <f t="shared" si="3"/>
        <v>135.12</v>
      </c>
      <c r="D27" s="79">
        <f t="shared" si="1"/>
        <v>371.58</v>
      </c>
      <c r="E27" s="79">
        <f t="shared" si="2"/>
        <v>540.48</v>
      </c>
      <c r="F27" s="5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54">
        <f t="shared" ca="1" si="0"/>
        <v>46010</v>
      </c>
      <c r="B28" s="80">
        <v>3967</v>
      </c>
      <c r="C28" s="79">
        <f t="shared" si="3"/>
        <v>158.68</v>
      </c>
      <c r="D28" s="79">
        <f t="shared" si="1"/>
        <v>436.37</v>
      </c>
      <c r="E28" s="79">
        <f t="shared" si="2"/>
        <v>634.72</v>
      </c>
      <c r="F28" s="5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54">
        <f t="shared" ca="1" si="0"/>
        <v>45996</v>
      </c>
      <c r="B29" s="80">
        <v>1060</v>
      </c>
      <c r="C29" s="79">
        <f t="shared" si="3"/>
        <v>42.4</v>
      </c>
      <c r="D29" s="79">
        <f t="shared" si="1"/>
        <v>116.6</v>
      </c>
      <c r="E29" s="79">
        <f t="shared" si="2"/>
        <v>169.6</v>
      </c>
      <c r="F29" s="5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54">
        <f t="shared" ca="1" si="0"/>
        <v>45991</v>
      </c>
      <c r="B30" s="80">
        <v>1658</v>
      </c>
      <c r="C30" s="79">
        <f t="shared" si="3"/>
        <v>66.320000000000007</v>
      </c>
      <c r="D30" s="79">
        <f t="shared" si="1"/>
        <v>182.38</v>
      </c>
      <c r="E30" s="79">
        <f t="shared" si="2"/>
        <v>265.28000000000003</v>
      </c>
      <c r="F30" s="5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54">
        <f t="shared" ca="1" si="0"/>
        <v>46034</v>
      </c>
      <c r="B31" s="80">
        <v>1279</v>
      </c>
      <c r="C31" s="79">
        <f t="shared" si="3"/>
        <v>51.160000000000004</v>
      </c>
      <c r="D31" s="79">
        <f t="shared" si="1"/>
        <v>140.69</v>
      </c>
      <c r="E31" s="79">
        <f t="shared" si="2"/>
        <v>204.64000000000001</v>
      </c>
      <c r="F31" s="5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54">
        <f t="shared" ca="1" si="0"/>
        <v>46033</v>
      </c>
      <c r="B32" s="81">
        <v>676</v>
      </c>
      <c r="C32" s="79">
        <f t="shared" si="3"/>
        <v>27.04</v>
      </c>
      <c r="D32" s="79">
        <f t="shared" si="1"/>
        <v>74.36</v>
      </c>
      <c r="E32" s="79">
        <f t="shared" si="2"/>
        <v>108.16</v>
      </c>
      <c r="F32" s="5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54">
        <f t="shared" ca="1" si="0"/>
        <v>45996</v>
      </c>
      <c r="B33" s="80">
        <v>4862</v>
      </c>
      <c r="C33" s="79">
        <f t="shared" si="3"/>
        <v>194.48000000000002</v>
      </c>
      <c r="D33" s="79">
        <f t="shared" si="1"/>
        <v>534.82000000000005</v>
      </c>
      <c r="E33" s="79">
        <f t="shared" si="2"/>
        <v>777.92000000000007</v>
      </c>
      <c r="F33" s="5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54">
        <f t="shared" ca="1" si="0"/>
        <v>46030</v>
      </c>
      <c r="B34" s="80">
        <v>3751</v>
      </c>
      <c r="C34" s="79">
        <f t="shared" si="3"/>
        <v>150.04</v>
      </c>
      <c r="D34" s="79">
        <f t="shared" si="1"/>
        <v>412.61</v>
      </c>
      <c r="E34" s="79">
        <f t="shared" si="2"/>
        <v>600.16</v>
      </c>
      <c r="F34" s="5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54">
        <f t="shared" ca="1" si="0"/>
        <v>46033</v>
      </c>
      <c r="B35" s="80">
        <v>1127</v>
      </c>
      <c r="C35" s="79">
        <f t="shared" si="3"/>
        <v>45.08</v>
      </c>
      <c r="D35" s="79">
        <f t="shared" si="1"/>
        <v>123.97</v>
      </c>
      <c r="E35" s="79">
        <f t="shared" si="2"/>
        <v>180.32</v>
      </c>
      <c r="F35" s="55"/>
      <c r="G35" s="6"/>
      <c r="H35" s="6"/>
      <c r="I35" s="6"/>
      <c r="J35" s="6"/>
      <c r="K35" s="7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54">
        <f t="shared" ca="1" si="0"/>
        <v>46019</v>
      </c>
      <c r="B36" s="80">
        <v>1704</v>
      </c>
      <c r="C36" s="79">
        <f t="shared" si="3"/>
        <v>68.16</v>
      </c>
      <c r="D36" s="79">
        <f t="shared" si="1"/>
        <v>187.44</v>
      </c>
      <c r="E36" s="79">
        <f t="shared" si="2"/>
        <v>272.64</v>
      </c>
      <c r="F36" s="5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54">
        <f t="shared" ca="1" si="0"/>
        <v>45984</v>
      </c>
      <c r="B37" s="80">
        <v>4814</v>
      </c>
      <c r="C37" s="79">
        <f t="shared" si="3"/>
        <v>192.56</v>
      </c>
      <c r="D37" s="79">
        <f t="shared" si="1"/>
        <v>529.54</v>
      </c>
      <c r="E37" s="79">
        <f t="shared" si="2"/>
        <v>770.24</v>
      </c>
      <c r="F37" s="5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54">
        <f t="shared" ca="1" si="0"/>
        <v>45988</v>
      </c>
      <c r="B38" s="81">
        <v>787</v>
      </c>
      <c r="C38" s="79">
        <f t="shared" si="3"/>
        <v>31.48</v>
      </c>
      <c r="D38" s="79">
        <f t="shared" si="1"/>
        <v>86.570000000000007</v>
      </c>
      <c r="E38" s="79">
        <f t="shared" si="2"/>
        <v>125.92</v>
      </c>
      <c r="F38" s="5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54">
        <f t="shared" ca="1" si="0"/>
        <v>45988</v>
      </c>
      <c r="B39" s="80">
        <v>4985</v>
      </c>
      <c r="C39" s="79">
        <f t="shared" si="3"/>
        <v>199.4</v>
      </c>
      <c r="D39" s="79">
        <f t="shared" si="1"/>
        <v>548.35</v>
      </c>
      <c r="E39" s="79">
        <f t="shared" si="2"/>
        <v>797.6</v>
      </c>
      <c r="F39" s="5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54">
        <f t="shared" ca="1" si="0"/>
        <v>46003</v>
      </c>
      <c r="B40" s="80">
        <v>2112</v>
      </c>
      <c r="C40" s="79">
        <f t="shared" si="3"/>
        <v>84.48</v>
      </c>
      <c r="D40" s="79">
        <f t="shared" si="1"/>
        <v>232.32</v>
      </c>
      <c r="E40" s="79">
        <f t="shared" si="2"/>
        <v>337.92</v>
      </c>
      <c r="F40" s="5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54">
        <f t="shared" ca="1" si="0"/>
        <v>45989</v>
      </c>
      <c r="B41" s="80">
        <v>2774</v>
      </c>
      <c r="C41" s="79">
        <f t="shared" si="3"/>
        <v>110.96000000000001</v>
      </c>
      <c r="D41" s="79">
        <f t="shared" si="1"/>
        <v>305.14</v>
      </c>
      <c r="E41" s="79">
        <f t="shared" si="2"/>
        <v>443.84000000000003</v>
      </c>
      <c r="F41" s="5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54">
        <f t="shared" ca="1" si="0"/>
        <v>46027</v>
      </c>
      <c r="B42" s="80">
        <v>3403</v>
      </c>
      <c r="C42" s="79">
        <f t="shared" si="3"/>
        <v>136.12</v>
      </c>
      <c r="D42" s="79">
        <f t="shared" si="1"/>
        <v>374.33</v>
      </c>
      <c r="E42" s="79">
        <f t="shared" si="2"/>
        <v>544.48</v>
      </c>
      <c r="F42" s="5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54">
        <f t="shared" ca="1" si="0"/>
        <v>46032</v>
      </c>
      <c r="B43" s="81">
        <v>588</v>
      </c>
      <c r="C43" s="79">
        <f t="shared" si="3"/>
        <v>23.52</v>
      </c>
      <c r="D43" s="79">
        <f t="shared" si="1"/>
        <v>64.680000000000007</v>
      </c>
      <c r="E43" s="79">
        <f t="shared" si="2"/>
        <v>94.08</v>
      </c>
      <c r="F43" s="5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54">
        <f t="shared" ca="1" si="0"/>
        <v>46010</v>
      </c>
      <c r="B44" s="80">
        <v>3111</v>
      </c>
      <c r="C44" s="79">
        <f t="shared" si="3"/>
        <v>124.44</v>
      </c>
      <c r="D44" s="79">
        <f t="shared" si="1"/>
        <v>342.21</v>
      </c>
      <c r="E44" s="79">
        <f t="shared" si="2"/>
        <v>497.76</v>
      </c>
      <c r="F44" s="5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54">
        <f t="shared" ca="1" si="0"/>
        <v>45996</v>
      </c>
      <c r="B45" s="80">
        <v>4479</v>
      </c>
      <c r="C45" s="79">
        <f t="shared" si="3"/>
        <v>179.16</v>
      </c>
      <c r="D45" s="79">
        <f t="shared" si="1"/>
        <v>492.69</v>
      </c>
      <c r="E45" s="79">
        <f t="shared" si="2"/>
        <v>716.64</v>
      </c>
      <c r="F45" s="5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54">
        <f t="shared" ca="1" si="0"/>
        <v>46011</v>
      </c>
      <c r="B46" s="80">
        <v>2901</v>
      </c>
      <c r="C46" s="79">
        <f t="shared" si="3"/>
        <v>116.04</v>
      </c>
      <c r="D46" s="79">
        <f t="shared" si="1"/>
        <v>319.11</v>
      </c>
      <c r="E46" s="79">
        <f t="shared" si="2"/>
        <v>464.16</v>
      </c>
      <c r="F46" s="5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54">
        <f t="shared" ca="1" si="0"/>
        <v>46031</v>
      </c>
      <c r="B47" s="81">
        <v>795</v>
      </c>
      <c r="C47" s="79">
        <f t="shared" si="3"/>
        <v>31.8</v>
      </c>
      <c r="D47" s="79">
        <f t="shared" si="1"/>
        <v>87.45</v>
      </c>
      <c r="E47" s="79">
        <f t="shared" si="2"/>
        <v>127.2</v>
      </c>
      <c r="F47" s="5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54">
        <f t="shared" ca="1" si="0"/>
        <v>46012</v>
      </c>
      <c r="B48" s="80">
        <v>3844</v>
      </c>
      <c r="C48" s="79">
        <f t="shared" si="3"/>
        <v>153.76</v>
      </c>
      <c r="D48" s="79">
        <f t="shared" si="1"/>
        <v>422.84</v>
      </c>
      <c r="E48" s="79">
        <f t="shared" si="2"/>
        <v>615.04</v>
      </c>
      <c r="F48" s="5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54">
        <f t="shared" ca="1" si="0"/>
        <v>45987</v>
      </c>
      <c r="B49" s="81">
        <v>888</v>
      </c>
      <c r="C49" s="79">
        <f t="shared" si="3"/>
        <v>35.520000000000003</v>
      </c>
      <c r="D49" s="79">
        <f t="shared" si="1"/>
        <v>97.68</v>
      </c>
      <c r="E49" s="79">
        <f t="shared" si="2"/>
        <v>142.08000000000001</v>
      </c>
      <c r="F49" s="5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54">
        <f t="shared" ca="1" si="0"/>
        <v>46010</v>
      </c>
      <c r="B50" s="80">
        <v>3552</v>
      </c>
      <c r="C50" s="79">
        <f t="shared" si="3"/>
        <v>142.08000000000001</v>
      </c>
      <c r="D50" s="79">
        <f t="shared" si="1"/>
        <v>390.72</v>
      </c>
      <c r="E50" s="79">
        <f t="shared" si="2"/>
        <v>568.32000000000005</v>
      </c>
      <c r="F50" s="5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54">
        <f t="shared" ca="1" si="0"/>
        <v>46030</v>
      </c>
      <c r="B51" s="80">
        <v>4551</v>
      </c>
      <c r="C51" s="79">
        <f t="shared" si="3"/>
        <v>182.04</v>
      </c>
      <c r="D51" s="79">
        <f t="shared" si="1"/>
        <v>500.61</v>
      </c>
      <c r="E51" s="79">
        <f t="shared" si="2"/>
        <v>728.16</v>
      </c>
      <c r="F51" s="5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54">
        <f t="shared" ca="1" si="0"/>
        <v>46024</v>
      </c>
      <c r="B52" s="80">
        <v>1515</v>
      </c>
      <c r="C52" s="79">
        <f t="shared" si="3"/>
        <v>60.6</v>
      </c>
      <c r="D52" s="79">
        <f t="shared" si="1"/>
        <v>166.65</v>
      </c>
      <c r="E52" s="79">
        <f t="shared" si="2"/>
        <v>242.4</v>
      </c>
      <c r="F52" s="5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54">
        <f t="shared" ca="1" si="0"/>
        <v>46008</v>
      </c>
      <c r="B53" s="81">
        <v>848</v>
      </c>
      <c r="C53" s="79">
        <f t="shared" si="3"/>
        <v>33.92</v>
      </c>
      <c r="D53" s="79">
        <f t="shared" si="1"/>
        <v>93.28</v>
      </c>
      <c r="E53" s="79">
        <f t="shared" si="2"/>
        <v>135.68</v>
      </c>
      <c r="F53" s="5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54">
        <f t="shared" ca="1" si="0"/>
        <v>45990</v>
      </c>
      <c r="B54" s="80">
        <v>2196</v>
      </c>
      <c r="C54" s="79">
        <f t="shared" si="3"/>
        <v>87.84</v>
      </c>
      <c r="D54" s="79">
        <f t="shared" si="1"/>
        <v>241.56</v>
      </c>
      <c r="E54" s="79">
        <f t="shared" si="2"/>
        <v>351.36</v>
      </c>
      <c r="F54" s="5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54">
        <f t="shared" ca="1" si="0"/>
        <v>46019</v>
      </c>
      <c r="B55" s="80">
        <v>1056</v>
      </c>
      <c r="C55" s="79">
        <f t="shared" si="3"/>
        <v>42.24</v>
      </c>
      <c r="D55" s="79">
        <f t="shared" si="1"/>
        <v>116.16</v>
      </c>
      <c r="E55" s="79">
        <f t="shared" si="2"/>
        <v>168.96</v>
      </c>
      <c r="F55" s="5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54">
        <f t="shared" ca="1" si="0"/>
        <v>45997</v>
      </c>
      <c r="B56" s="80">
        <v>3507</v>
      </c>
      <c r="C56" s="79">
        <f t="shared" si="3"/>
        <v>140.28</v>
      </c>
      <c r="D56" s="79">
        <f t="shared" si="1"/>
        <v>385.77</v>
      </c>
      <c r="E56" s="79">
        <f t="shared" si="2"/>
        <v>561.12</v>
      </c>
      <c r="F56" s="5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54">
        <f t="shared" ca="1" si="0"/>
        <v>45990</v>
      </c>
      <c r="B57" s="80">
        <v>3497</v>
      </c>
      <c r="C57" s="79">
        <f t="shared" si="3"/>
        <v>139.88</v>
      </c>
      <c r="D57" s="79">
        <f t="shared" si="1"/>
        <v>384.67</v>
      </c>
      <c r="E57" s="79">
        <f t="shared" si="2"/>
        <v>559.52</v>
      </c>
      <c r="F57" s="5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54">
        <f t="shared" ca="1" si="0"/>
        <v>45997</v>
      </c>
      <c r="B58" s="80">
        <v>1922</v>
      </c>
      <c r="C58" s="79">
        <f t="shared" si="3"/>
        <v>76.88</v>
      </c>
      <c r="D58" s="79">
        <f t="shared" si="1"/>
        <v>211.42</v>
      </c>
      <c r="E58" s="79">
        <f t="shared" si="2"/>
        <v>307.52</v>
      </c>
      <c r="F58" s="5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54">
        <f t="shared" ca="1" si="0"/>
        <v>46004</v>
      </c>
      <c r="B59" s="80">
        <v>1638</v>
      </c>
      <c r="C59" s="79">
        <f t="shared" si="3"/>
        <v>65.52</v>
      </c>
      <c r="D59" s="79">
        <f t="shared" si="1"/>
        <v>180.18</v>
      </c>
      <c r="E59" s="79">
        <f t="shared" si="2"/>
        <v>262.08</v>
      </c>
      <c r="F59" s="5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54">
        <f t="shared" ca="1" si="0"/>
        <v>46002</v>
      </c>
      <c r="B60" s="81">
        <v>982</v>
      </c>
      <c r="C60" s="79">
        <f t="shared" si="3"/>
        <v>39.28</v>
      </c>
      <c r="D60" s="79">
        <f t="shared" si="1"/>
        <v>108.02</v>
      </c>
      <c r="E60" s="79">
        <f t="shared" si="2"/>
        <v>157.12</v>
      </c>
      <c r="F60" s="5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54">
        <f t="shared" ca="1" si="0"/>
        <v>45987</v>
      </c>
      <c r="B61" s="80">
        <v>1325</v>
      </c>
      <c r="C61" s="79">
        <f t="shared" si="3"/>
        <v>53</v>
      </c>
      <c r="D61" s="79">
        <f t="shared" si="1"/>
        <v>145.75</v>
      </c>
      <c r="E61" s="79">
        <f t="shared" si="2"/>
        <v>212</v>
      </c>
      <c r="F61" s="5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54">
        <f t="shared" ca="1" si="0"/>
        <v>45981</v>
      </c>
      <c r="B62" s="81">
        <v>811</v>
      </c>
      <c r="C62" s="79">
        <f t="shared" si="3"/>
        <v>32.44</v>
      </c>
      <c r="D62" s="79">
        <f t="shared" si="1"/>
        <v>89.21</v>
      </c>
      <c r="E62" s="79">
        <f t="shared" si="2"/>
        <v>129.76</v>
      </c>
      <c r="F62" s="5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C11:C6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:D6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:E6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B6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F491"/>
  </sheetPr>
  <dimension ref="A1:Z1000"/>
  <sheetViews>
    <sheetView showGridLines="0" tabSelected="1" workbookViewId="0">
      <selection activeCell="G20" sqref="G20"/>
    </sheetView>
  </sheetViews>
  <sheetFormatPr baseColWidth="10" defaultColWidth="12.625" defaultRowHeight="15" customHeight="1"/>
  <cols>
    <col min="1" max="26" width="9.1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8" t="s">
        <v>66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>
      <c r="A10" s="6"/>
      <c r="B10" s="6"/>
      <c r="C10" s="73" t="s">
        <v>67</v>
      </c>
      <c r="D10" s="70"/>
      <c r="E10" s="70"/>
      <c r="F10" s="70"/>
      <c r="G10" s="70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74" t="s">
        <v>68</v>
      </c>
      <c r="C11" s="56"/>
      <c r="D11" s="57">
        <v>3</v>
      </c>
      <c r="E11" s="57">
        <v>6</v>
      </c>
      <c r="F11" s="57">
        <v>9</v>
      </c>
      <c r="G11" s="57">
        <v>12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customHeight="1">
      <c r="A12" s="6"/>
      <c r="B12" s="70"/>
      <c r="C12" s="57">
        <v>10</v>
      </c>
      <c r="D12" s="82">
        <f>$C12*D$11</f>
        <v>30</v>
      </c>
      <c r="E12" s="82">
        <f t="shared" ref="E12:G16" si="0">$C12*E$11</f>
        <v>60</v>
      </c>
      <c r="F12" s="82">
        <f t="shared" si="0"/>
        <v>90</v>
      </c>
      <c r="G12" s="82">
        <f t="shared" si="0"/>
        <v>120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70"/>
      <c r="C13" s="57">
        <v>20</v>
      </c>
      <c r="D13" s="82">
        <f t="shared" ref="D13:D16" si="1">$C13*D$11</f>
        <v>60</v>
      </c>
      <c r="E13" s="82">
        <f t="shared" si="0"/>
        <v>120</v>
      </c>
      <c r="F13" s="82">
        <f t="shared" si="0"/>
        <v>180</v>
      </c>
      <c r="G13" s="82">
        <f t="shared" si="0"/>
        <v>240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70"/>
      <c r="C14" s="57">
        <v>30</v>
      </c>
      <c r="D14" s="82">
        <f t="shared" si="1"/>
        <v>90</v>
      </c>
      <c r="E14" s="82">
        <f t="shared" si="0"/>
        <v>180</v>
      </c>
      <c r="F14" s="82">
        <f t="shared" si="0"/>
        <v>270</v>
      </c>
      <c r="G14" s="82">
        <f t="shared" si="0"/>
        <v>360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70"/>
      <c r="C15" s="57">
        <v>40</v>
      </c>
      <c r="D15" s="82">
        <f t="shared" si="1"/>
        <v>120</v>
      </c>
      <c r="E15" s="82">
        <f t="shared" si="0"/>
        <v>240</v>
      </c>
      <c r="F15" s="82">
        <f t="shared" si="0"/>
        <v>360</v>
      </c>
      <c r="G15" s="82">
        <f t="shared" si="0"/>
        <v>480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70"/>
      <c r="C16" s="57">
        <v>50</v>
      </c>
      <c r="D16" s="82">
        <f t="shared" si="1"/>
        <v>150</v>
      </c>
      <c r="E16" s="82">
        <f t="shared" si="0"/>
        <v>300</v>
      </c>
      <c r="F16" s="82">
        <f t="shared" si="0"/>
        <v>450</v>
      </c>
      <c r="G16" s="82">
        <f t="shared" si="0"/>
        <v>600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/>
      <c r="C20" s="6"/>
      <c r="D20" s="6"/>
      <c r="E20" s="6"/>
      <c r="F20" s="6"/>
      <c r="G20" s="7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C10:G10"/>
    <mergeCell ref="B11:B1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27" sqref="A27:XFD27"/>
    </sheetView>
  </sheetViews>
  <sheetFormatPr baseColWidth="10" defaultColWidth="12.625" defaultRowHeight="15" customHeight="1"/>
  <cols>
    <col min="1" max="1" width="11.5" customWidth="1"/>
    <col min="2" max="2" width="15.375" customWidth="1"/>
    <col min="3" max="3" width="20" customWidth="1"/>
    <col min="4" max="4" width="23.25" customWidth="1"/>
    <col min="5" max="5" width="19.875" customWidth="1"/>
    <col min="6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58" t="s">
        <v>69</v>
      </c>
      <c r="C9" s="58" t="s">
        <v>70</v>
      </c>
      <c r="D9" s="58" t="s">
        <v>71</v>
      </c>
      <c r="E9" s="58" t="s">
        <v>72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59">
        <v>50</v>
      </c>
      <c r="C10" s="60" t="s">
        <v>73</v>
      </c>
      <c r="D10" s="61">
        <v>355</v>
      </c>
      <c r="E10" s="62">
        <f t="shared" ref="E10:E17" si="0">D10*B10</f>
        <v>17750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59">
        <v>35</v>
      </c>
      <c r="C11" s="60" t="s">
        <v>74</v>
      </c>
      <c r="D11" s="61">
        <v>122</v>
      </c>
      <c r="E11" s="62">
        <f t="shared" si="0"/>
        <v>4270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59">
        <v>15</v>
      </c>
      <c r="C12" s="60" t="s">
        <v>75</v>
      </c>
      <c r="D12" s="61">
        <v>124</v>
      </c>
      <c r="E12" s="62">
        <f t="shared" si="0"/>
        <v>1860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59">
        <v>12</v>
      </c>
      <c r="C13" s="60" t="s">
        <v>76</v>
      </c>
      <c r="D13" s="61">
        <v>56</v>
      </c>
      <c r="E13" s="62">
        <f t="shared" si="0"/>
        <v>672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59">
        <v>18</v>
      </c>
      <c r="C14" s="60" t="s">
        <v>77</v>
      </c>
      <c r="D14" s="61">
        <v>127</v>
      </c>
      <c r="E14" s="62">
        <f t="shared" si="0"/>
        <v>2286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59">
        <v>25</v>
      </c>
      <c r="C15" s="60" t="s">
        <v>78</v>
      </c>
      <c r="D15" s="61">
        <v>67</v>
      </c>
      <c r="E15" s="62">
        <f t="shared" si="0"/>
        <v>1675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59">
        <v>15</v>
      </c>
      <c r="C16" s="60" t="s">
        <v>79</v>
      </c>
      <c r="D16" s="61">
        <v>172</v>
      </c>
      <c r="E16" s="62">
        <f t="shared" si="0"/>
        <v>2580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59">
        <v>18</v>
      </c>
      <c r="C17" s="60" t="s">
        <v>80</v>
      </c>
      <c r="D17" s="61">
        <v>135</v>
      </c>
      <c r="E17" s="62">
        <f t="shared" si="0"/>
        <v>2430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36"/>
      <c r="C18" s="36"/>
      <c r="D18" s="36"/>
      <c r="E18" s="3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36"/>
      <c r="C19" s="36"/>
      <c r="D19" s="36"/>
      <c r="E19" s="3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36"/>
      <c r="C20" s="36"/>
      <c r="D20" s="63" t="s">
        <v>81</v>
      </c>
      <c r="E20" s="6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36"/>
      <c r="C21" s="36"/>
      <c r="D21" s="65" t="s">
        <v>82</v>
      </c>
      <c r="E21" s="6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36"/>
      <c r="C22" s="36"/>
      <c r="D22" s="65" t="s">
        <v>83</v>
      </c>
      <c r="E22" s="6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36"/>
      <c r="C23" s="36"/>
      <c r="D23" s="66" t="s">
        <v>84</v>
      </c>
      <c r="E23" s="6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9.75" customHeight="1">
      <c r="A27" s="6"/>
      <c r="B27" s="6"/>
      <c r="C27" s="6"/>
      <c r="D27" s="68" t="s">
        <v>85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</vt:lpstr>
      <vt:lpstr>Operadores Básicos</vt:lpstr>
      <vt:lpstr>Referencias</vt:lpstr>
      <vt:lpstr>Comisiones de Ventas</vt:lpstr>
      <vt:lpstr>Areas</vt:lpstr>
      <vt:lpstr>Jerarquía 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2026-01-19T18:40:57Z</dcterms:modified>
</cp:coreProperties>
</file>