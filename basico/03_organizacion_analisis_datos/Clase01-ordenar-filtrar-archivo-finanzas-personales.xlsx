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3_organizacion_analisis_datos\"/>
    </mc:Choice>
  </mc:AlternateContent>
  <xr:revisionPtr revIDLastSave="0" documentId="13_ncr:1_{7F019164-65E1-4EA0-8931-F37B0AC17C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gresos" sheetId="1" r:id="rId1"/>
    <sheet name="Gastos" sheetId="2" r:id="rId2"/>
    <sheet name="Ingresos y Gastos" sheetId="3" r:id="rId3"/>
    <sheet name="Resumen" sheetId="4" r:id="rId4"/>
    <sheet name="Concentrado" sheetId="5" r:id="rId5"/>
    <sheet name="Dashboard" sheetId="6" r:id="rId6"/>
  </sheets>
  <definedNames>
    <definedName name="_xlnm._FilterDatabase" localSheetId="2" hidden="1">'Ingresos y Gastos'!$A$14:$J$69</definedName>
    <definedName name="SegmentaciónDeDatos_Categoría">#REF!</definedName>
    <definedName name="SegmentaciónDeDatos_Tipo__Ingreso_Gasto">#REF!</definedName>
    <definedName name="SlicerCache_Table_1_Col_8">#N/A</definedName>
    <definedName name="SlicerCache_Table_1_Col_9">#N/A</definedName>
    <definedName name="Z_C531C171_2913_452A_A10E_3EE18B6FFE5F_.wvu.FilterData" localSheetId="0" hidden="1">Ingresos!$A$12:$J$42</definedName>
  </definedNames>
  <calcPr calcId="191029"/>
  <customWorkbookViews>
    <customWorkbookView name="Filtro 1" guid="{C531C171-2913-452A-A10E-3EE18B6FFE5F}" maximized="1" windowWidth="0" windowHeight="0" activeSheetId="0"/>
  </customWorkbookView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Pcu5vaV4hYcMWjVKmGgdl7PBXKJBXDW3S/Lh6oNxvL0=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E3" i="1" a="1"/>
  <c r="E3" i="1" s="1"/>
  <c r="E4" i="1" l="1"/>
  <c r="E5" i="1"/>
  <c r="E6" i="1"/>
  <c r="E7" i="1"/>
  <c r="E8" i="1"/>
</calcChain>
</file>

<file path=xl/sharedStrings.xml><?xml version="1.0" encoding="utf-8"?>
<sst xmlns="http://schemas.openxmlformats.org/spreadsheetml/2006/main" count="1351" uniqueCount="142">
  <si>
    <t>Estado general de ingresos</t>
  </si>
  <si>
    <t>Total de Ingresos</t>
  </si>
  <si>
    <t>Freelance</t>
  </si>
  <si>
    <t>Promedio de Ingresos</t>
  </si>
  <si>
    <t>Reembolso</t>
  </si>
  <si>
    <t>Ingreso Máximo</t>
  </si>
  <si>
    <t>Regalo</t>
  </si>
  <si>
    <t>Ingreso Mínimo</t>
  </si>
  <si>
    <t>Sueldo</t>
  </si>
  <si>
    <t>¿Cuántos movimientos hay registrados?</t>
  </si>
  <si>
    <t>Venta de segunda mano</t>
  </si>
  <si>
    <t>¿Hay algún registro sin monto?</t>
  </si>
  <si>
    <t>Subacategoría</t>
  </si>
  <si>
    <t>Monto por filtro activado</t>
  </si>
  <si>
    <t>Fecha</t>
  </si>
  <si>
    <t>Categoría</t>
  </si>
  <si>
    <t xml:space="preserve"> Subcategoría</t>
  </si>
  <si>
    <t>Descripción</t>
  </si>
  <si>
    <t>Tipo (Ingreso/Gasto)</t>
  </si>
  <si>
    <t>Monto</t>
  </si>
  <si>
    <t>Forma de pago</t>
  </si>
  <si>
    <t>¿Es gasto fijo o variable?</t>
  </si>
  <si>
    <t>¿Es necesario o prescindible?</t>
  </si>
  <si>
    <t>¿Fue planeado o imprevisto?</t>
  </si>
  <si>
    <t>Ingresos</t>
  </si>
  <si>
    <t>Bonificación</t>
  </si>
  <si>
    <t>Bonificación por buen desempeño</t>
  </si>
  <si>
    <t>Ingreso</t>
  </si>
  <si>
    <t>Efectivo</t>
  </si>
  <si>
    <t>Variable</t>
  </si>
  <si>
    <t>Extra</t>
  </si>
  <si>
    <t>Inesperado</t>
  </si>
  <si>
    <t>Transferencia</t>
  </si>
  <si>
    <t>Depósito</t>
  </si>
  <si>
    <t>Proyecto freelance UX para startup</t>
  </si>
  <si>
    <t>PayPal</t>
  </si>
  <si>
    <t>Planeado</t>
  </si>
  <si>
    <t>Reembolso por gastos de trabajo</t>
  </si>
  <si>
    <t>Necesario</t>
  </si>
  <si>
    <t>Regalo de cumpleaños de papás</t>
  </si>
  <si>
    <t>Pago mensual empresa UXCorp</t>
  </si>
  <si>
    <t>Fijo</t>
  </si>
  <si>
    <t>REVISAR</t>
  </si>
  <si>
    <t>Venta de ropa y gadgets usados</t>
  </si>
  <si>
    <t>Estado general de gastos</t>
  </si>
  <si>
    <t>Total de Gastos</t>
  </si>
  <si>
    <t>Promedio de Gastos</t>
  </si>
  <si>
    <t>Gasto Máximo</t>
  </si>
  <si>
    <t>Gasto Mínimo</t>
  </si>
  <si>
    <t>Entretenimiento</t>
  </si>
  <si>
    <t>Spotify</t>
  </si>
  <si>
    <t>Suscripción mensual a Spotify Premium</t>
  </si>
  <si>
    <t>Gasto</t>
  </si>
  <si>
    <t>Prescindible</t>
  </si>
  <si>
    <t>Imprevisto</t>
  </si>
  <si>
    <t>Eventos</t>
  </si>
  <si>
    <t>Gasto en eventos</t>
  </si>
  <si>
    <t>Tarjeta de crédito</t>
  </si>
  <si>
    <t>Transporte</t>
  </si>
  <si>
    <t>Gasolina</t>
  </si>
  <si>
    <t>Gasto en gasolina</t>
  </si>
  <si>
    <t>Educación</t>
  </si>
  <si>
    <t>Libros</t>
  </si>
  <si>
    <t>Gasto en libros</t>
  </si>
  <si>
    <t>Cursos online</t>
  </si>
  <si>
    <t>Gasto en cursos online</t>
  </si>
  <si>
    <t>Personales</t>
  </si>
  <si>
    <t>Regalos</t>
  </si>
  <si>
    <t>Gasto en regalos</t>
  </si>
  <si>
    <t>Débito</t>
  </si>
  <si>
    <t>Netflix</t>
  </si>
  <si>
    <t>Pago mensual de Netflix</t>
  </si>
  <si>
    <t>Vivienda</t>
  </si>
  <si>
    <t>Servicios (agua, luz, gas)</t>
  </si>
  <si>
    <t>Gasto en servicios (agua, luz, gas)</t>
  </si>
  <si>
    <t>Salud</t>
  </si>
  <si>
    <t>Consultas médicas</t>
  </si>
  <si>
    <t>Consulta ginecológica semestral</t>
  </si>
  <si>
    <t>Ropa</t>
  </si>
  <si>
    <t>Compra de blusa en Zara</t>
  </si>
  <si>
    <t>Cuidado personal</t>
  </si>
  <si>
    <t>Gasto en cuidado personal</t>
  </si>
  <si>
    <t>Uber</t>
  </si>
  <si>
    <t>Gasto en uber</t>
  </si>
  <si>
    <t>Renta</t>
  </si>
  <si>
    <t>Pago mensual de renta</t>
  </si>
  <si>
    <t>Agrega las columnas que decidas: Fecha, Categoría, Subcategoría, Descripción, Tipo (Ingreso/Gasto), Monto, Forma de pago, ¿Es gasto fijo o variable?, ¿Es necesario o prescindible?, Mes, ¿Fue planeado o imprevisto?</t>
  </si>
  <si>
    <t>Da formato: Color, alineación, bordes,etc</t>
  </si>
  <si>
    <t xml:space="preserve">Empieza a agregar tus datos </t>
  </si>
  <si>
    <t>27/06/2024</t>
  </si>
  <si>
    <t>Ocio</t>
  </si>
  <si>
    <t>Suscripciones</t>
  </si>
  <si>
    <t>Suscripciones de Camila</t>
  </si>
  <si>
    <t>24/06/2024</t>
  </si>
  <si>
    <t>Libros de Camila</t>
  </si>
  <si>
    <t>17/06/2024</t>
  </si>
  <si>
    <t>Alimentación</t>
  </si>
  <si>
    <t>Supermercado</t>
  </si>
  <si>
    <t>Supermercado de Camila</t>
  </si>
  <si>
    <t>22/07/2024</t>
  </si>
  <si>
    <t>Tarjeta de débito</t>
  </si>
  <si>
    <t>02/06/2024</t>
  </si>
  <si>
    <t>Servicios</t>
  </si>
  <si>
    <t>Servicios de Camila</t>
  </si>
  <si>
    <t>21/06/2024</t>
  </si>
  <si>
    <t>Sueldo de Camila</t>
  </si>
  <si>
    <t>Conciertos</t>
  </si>
  <si>
    <t>Conciertos de Camila</t>
  </si>
  <si>
    <t>05/06/2024</t>
  </si>
  <si>
    <t>Seguro médico</t>
  </si>
  <si>
    <t>Seguro médico de Camila</t>
  </si>
  <si>
    <t>18/06/2024</t>
  </si>
  <si>
    <t>06/07/2024</t>
  </si>
  <si>
    <t>23/06/2024</t>
  </si>
  <si>
    <t>Freelance de Camila</t>
  </si>
  <si>
    <t>29/06/2024</t>
  </si>
  <si>
    <t>05/07/2024</t>
  </si>
  <si>
    <t>Medicinas</t>
  </si>
  <si>
    <t>Medicinas de Camila</t>
  </si>
  <si>
    <t>28/06/2024</t>
  </si>
  <si>
    <t>Café</t>
  </si>
  <si>
    <t>Café de Camila</t>
  </si>
  <si>
    <t>27/07/2024</t>
  </si>
  <si>
    <t>Cine</t>
  </si>
  <si>
    <t>Cine de Camila</t>
  </si>
  <si>
    <t>11/07/2024</t>
  </si>
  <si>
    <t>16/06/2024</t>
  </si>
  <si>
    <t>Restaurante</t>
  </si>
  <si>
    <t>Restaurante de Camila</t>
  </si>
  <si>
    <t>09/06/2024</t>
  </si>
  <si>
    <t>22/06/2024</t>
  </si>
  <si>
    <t>31/07/2024</t>
  </si>
  <si>
    <t>17/07/2024</t>
  </si>
  <si>
    <t>15/07/2024</t>
  </si>
  <si>
    <t xml:space="preserve">Análisis de Ingresos por Mes </t>
  </si>
  <si>
    <t>(Todas)</t>
  </si>
  <si>
    <t>Etiquetas de fila</t>
  </si>
  <si>
    <t>Suma de Monto</t>
  </si>
  <si>
    <t>jun</t>
  </si>
  <si>
    <t>jul</t>
  </si>
  <si>
    <t>ago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</si>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</sst>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@_)"/>
    <numFmt numFmtId="165" formatCode="&quot;$&quot;#,##0.00;[Red]\-&quot;$&quot;#,##0.00"/>
  </numFmts>
  <fonts count="14">
    <font>
      <sz val="11"/>
      <color theme="1"/>
      <name val="Aptos Narrow"/>
      <scheme val="minor"/>
    </font>
    <font>
      <b/>
      <sz val="11"/>
      <color theme="1"/>
      <name val="Century Gothic"/>
    </font>
    <font>
      <sz val="11"/>
      <name val="Aptos Narrow"/>
    </font>
    <font>
      <sz val="11"/>
      <color theme="0"/>
      <name val="Aptos Narrow"/>
    </font>
    <font>
      <b/>
      <sz val="11"/>
      <color theme="0"/>
      <name val="Century Gothic"/>
    </font>
    <font>
      <sz val="11"/>
      <color theme="1"/>
      <name val="Century Gothic"/>
    </font>
    <font>
      <sz val="11"/>
      <color theme="1"/>
      <name val="Aptos Narrow"/>
      <scheme val="minor"/>
    </font>
    <font>
      <b/>
      <sz val="10"/>
      <color theme="1"/>
      <name val="Century Gothic"/>
    </font>
    <font>
      <sz val="10"/>
      <color theme="1"/>
      <name val="Century Gothic"/>
    </font>
    <font>
      <sz val="11"/>
      <color theme="1"/>
      <name val="Aptos Narrow"/>
    </font>
    <font>
      <b/>
      <sz val="11"/>
      <color theme="1"/>
      <name val="IBM Plex Sans"/>
    </font>
    <font>
      <b/>
      <sz val="11"/>
      <color theme="1"/>
      <name val="Aptos Narrow"/>
    </font>
    <font>
      <b/>
      <sz val="12"/>
      <color theme="1"/>
      <name val="Century Gothic"/>
    </font>
    <font>
      <sz val="12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9FF99"/>
        <bgColor rgb="FF99FF99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0BF491"/>
        <bgColor rgb="FF0BF49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/>
    <xf numFmtId="0" fontId="6" fillId="0" borderId="0" xfId="0" applyFont="1"/>
    <xf numFmtId="165" fontId="1" fillId="4" borderId="4" xfId="0" applyNumberFormat="1" applyFont="1" applyFill="1" applyBorder="1" applyAlignment="1">
      <alignment horizontal="center"/>
    </xf>
    <xf numFmtId="14" fontId="7" fillId="2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14" fontId="8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4" fontId="7" fillId="2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14" fontId="9" fillId="0" borderId="0" xfId="0" applyNumberFormat="1" applyFont="1" applyAlignment="1">
      <alignment horizontal="left"/>
    </xf>
    <xf numFmtId="0" fontId="10" fillId="6" borderId="4" xfId="0" applyFont="1" applyFill="1" applyBorder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4" fontId="8" fillId="0" borderId="0" xfId="0" applyNumberFormat="1" applyFont="1" applyAlignment="1">
      <alignment horizontal="left"/>
    </xf>
    <xf numFmtId="0" fontId="8" fillId="0" borderId="0" xfId="0" applyFont="1"/>
    <xf numFmtId="0" fontId="11" fillId="0" borderId="0" xfId="0" applyFont="1"/>
    <xf numFmtId="14" fontId="12" fillId="5" borderId="4" xfId="0" applyNumberFormat="1" applyFont="1" applyFill="1" applyBorder="1" applyAlignment="1">
      <alignment horizontal="center" vertical="center" wrapText="1"/>
    </xf>
    <xf numFmtId="164" fontId="12" fillId="5" borderId="4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/>
    <xf numFmtId="1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4" fontId="12" fillId="2" borderId="5" xfId="0" applyNumberFormat="1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>
      <alignment horizontal="left"/>
    </xf>
    <xf numFmtId="165" fontId="9" fillId="0" borderId="0" xfId="0" applyNumberFormat="1" applyFont="1"/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5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CAEDFB"/>
          <bgColor rgb="FFCAEDFB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">
    <tableStyle name="Ingreso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Gastos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oncentrado-style" pivot="0" count="3" xr9:uid="{00000000-0011-0000-FFFF-FFFF02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Ingresos!$A$13:$A$42</c:f>
              <c:numCache>
                <c:formatCode>m/d/yyyy</c:formatCode>
                <c:ptCount val="30"/>
                <c:pt idx="0">
                  <c:v>45865</c:v>
                </c:pt>
                <c:pt idx="1">
                  <c:v>45850</c:v>
                </c:pt>
                <c:pt idx="2">
                  <c:v>45881</c:v>
                </c:pt>
                <c:pt idx="3">
                  <c:v>45881</c:v>
                </c:pt>
                <c:pt idx="4">
                  <c:v>45886</c:v>
                </c:pt>
                <c:pt idx="5">
                  <c:v>45821</c:v>
                </c:pt>
                <c:pt idx="6">
                  <c:v>45841</c:v>
                </c:pt>
                <c:pt idx="7">
                  <c:v>45822</c:v>
                </c:pt>
                <c:pt idx="8">
                  <c:v>45898</c:v>
                </c:pt>
                <c:pt idx="9">
                  <c:v>45880</c:v>
                </c:pt>
                <c:pt idx="10">
                  <c:v>45890</c:v>
                </c:pt>
                <c:pt idx="11">
                  <c:v>45812</c:v>
                </c:pt>
                <c:pt idx="12">
                  <c:v>45866</c:v>
                </c:pt>
                <c:pt idx="13">
                  <c:v>45874</c:v>
                </c:pt>
                <c:pt idx="14">
                  <c:v>45821</c:v>
                </c:pt>
                <c:pt idx="15">
                  <c:v>45854</c:v>
                </c:pt>
                <c:pt idx="16">
                  <c:v>45838</c:v>
                </c:pt>
                <c:pt idx="17">
                  <c:v>45887</c:v>
                </c:pt>
                <c:pt idx="18">
                  <c:v>45882</c:v>
                </c:pt>
                <c:pt idx="19">
                  <c:v>45870</c:v>
                </c:pt>
                <c:pt idx="20">
                  <c:v>45890</c:v>
                </c:pt>
                <c:pt idx="21">
                  <c:v>45884</c:v>
                </c:pt>
                <c:pt idx="22">
                  <c:v>45884</c:v>
                </c:pt>
                <c:pt idx="23">
                  <c:v>45874</c:v>
                </c:pt>
                <c:pt idx="24">
                  <c:v>45868</c:v>
                </c:pt>
                <c:pt idx="25">
                  <c:v>45824</c:v>
                </c:pt>
                <c:pt idx="26">
                  <c:v>45885</c:v>
                </c:pt>
                <c:pt idx="27">
                  <c:v>45884</c:v>
                </c:pt>
                <c:pt idx="28">
                  <c:v>45865</c:v>
                </c:pt>
                <c:pt idx="29">
                  <c:v>45853</c:v>
                </c:pt>
              </c:numCache>
            </c:numRef>
          </c:cat>
          <c:val>
            <c:numRef>
              <c:f>Ingresos!$F$13:$F$42</c:f>
              <c:numCache>
                <c:formatCode>"$"#,##0.00;[Red]\-"$"#,##0.00</c:formatCode>
                <c:ptCount val="30"/>
                <c:pt idx="0">
                  <c:v>4709.33</c:v>
                </c:pt>
                <c:pt idx="1">
                  <c:v>8828.7900000000009</c:v>
                </c:pt>
                <c:pt idx="2">
                  <c:v>12365.99</c:v>
                </c:pt>
                <c:pt idx="3">
                  <c:v>12960.63</c:v>
                </c:pt>
                <c:pt idx="4">
                  <c:v>1215.6300000000001</c:v>
                </c:pt>
                <c:pt idx="5">
                  <c:v>6628.01</c:v>
                </c:pt>
                <c:pt idx="6">
                  <c:v>7141.86</c:v>
                </c:pt>
                <c:pt idx="7">
                  <c:v>8616.33</c:v>
                </c:pt>
                <c:pt idx="8">
                  <c:v>10475.23</c:v>
                </c:pt>
                <c:pt idx="9">
                  <c:v>12604.84</c:v>
                </c:pt>
                <c:pt idx="10">
                  <c:v>14118.44</c:v>
                </c:pt>
                <c:pt idx="11">
                  <c:v>7114.39</c:v>
                </c:pt>
                <c:pt idx="12">
                  <c:v>7653.06</c:v>
                </c:pt>
                <c:pt idx="13">
                  <c:v>8414.59</c:v>
                </c:pt>
                <c:pt idx="14">
                  <c:v>1530.69</c:v>
                </c:pt>
                <c:pt idx="15">
                  <c:v>2635.97</c:v>
                </c:pt>
                <c:pt idx="16">
                  <c:v>3198.32</c:v>
                </c:pt>
                <c:pt idx="17">
                  <c:v>4005.52</c:v>
                </c:pt>
                <c:pt idx="18">
                  <c:v>6355.85</c:v>
                </c:pt>
                <c:pt idx="19">
                  <c:v>9175.4599999999991</c:v>
                </c:pt>
                <c:pt idx="20">
                  <c:v>11125.31</c:v>
                </c:pt>
                <c:pt idx="21">
                  <c:v>716.49</c:v>
                </c:pt>
                <c:pt idx="22">
                  <c:v>4151.7</c:v>
                </c:pt>
                <c:pt idx="23">
                  <c:v>9805.7199999999993</c:v>
                </c:pt>
                <c:pt idx="24">
                  <c:v>14234.44</c:v>
                </c:pt>
                <c:pt idx="25">
                  <c:v>0</c:v>
                </c:pt>
                <c:pt idx="26">
                  <c:v>3466.83</c:v>
                </c:pt>
                <c:pt idx="27">
                  <c:v>4859.7299999999996</c:v>
                </c:pt>
                <c:pt idx="28">
                  <c:v>5505.91</c:v>
                </c:pt>
                <c:pt idx="29">
                  <c:v>9420.74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8-48DE-9E12-47532AB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305090"/>
        <c:axId val="647605773"/>
      </c:lineChart>
      <c:dateAx>
        <c:axId val="1277305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647605773"/>
        <c:crosses val="autoZero"/>
        <c:auto val="1"/>
        <c:lblOffset val="100"/>
        <c:baseTimeUnit val="days"/>
      </c:dateAx>
      <c:valAx>
        <c:axId val="647605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;[Red]\-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27730509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Dashboard!$A$4:$A$7</c:f>
              <c:strCache>
                <c:ptCount val="4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Total general</c:v>
                </c:pt>
              </c:strCache>
            </c:strRef>
          </c:cat>
          <c:val>
            <c:numRef>
              <c:f>Dashboard!$B$4:$B$7</c:f>
              <c:numCache>
                <c:formatCode>"$"#,##0.00;[Red]\-"$"#,##0.00</c:formatCode>
                <c:ptCount val="4"/>
                <c:pt idx="0">
                  <c:v>40569.42</c:v>
                </c:pt>
                <c:pt idx="1">
                  <c:v>73895.460000000006</c:v>
                </c:pt>
                <c:pt idx="2">
                  <c:v>137503.16</c:v>
                </c:pt>
                <c:pt idx="3">
                  <c:v>251968.04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B-47E7-966F-29E8CB333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333069"/>
        <c:axId val="992340461"/>
      </c:lineChart>
      <c:catAx>
        <c:axId val="1429333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992340461"/>
        <c:crosses val="autoZero"/>
        <c:auto val="1"/>
        <c:lblAlgn val="ctr"/>
        <c:lblOffset val="100"/>
        <c:noMultiLvlLbl val="1"/>
      </c:catAx>
      <c:valAx>
        <c:axId val="992340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;[Red]\-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4293330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Entretenimiento</c:v>
                </c:pt>
                <c:pt idx="1">
                  <c:v>Ingresos</c:v>
                </c:pt>
                <c:pt idx="2">
                  <c:v>Personales</c:v>
                </c:pt>
                <c:pt idx="3">
                  <c:v>Salud</c:v>
                </c:pt>
                <c:pt idx="4">
                  <c:v>Total general</c:v>
                </c:pt>
              </c:strCache>
            </c:strRef>
          </c:cat>
          <c:val>
            <c:numRef>
              <c:f>Dashboard!$B$16:$B$20</c:f>
              <c:numCache>
                <c:formatCode>"$"#,##0.00;[Red]\-"$"#,##0.00</c:formatCode>
                <c:ptCount val="5"/>
                <c:pt idx="0">
                  <c:v>14046.02</c:v>
                </c:pt>
                <c:pt idx="1">
                  <c:v>213035.8</c:v>
                </c:pt>
                <c:pt idx="2">
                  <c:v>22492.68</c:v>
                </c:pt>
                <c:pt idx="3">
                  <c:v>2393.54</c:v>
                </c:pt>
                <c:pt idx="4">
                  <c:v>251968.03999999998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33-4699-943A-A63ED849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812928"/>
        <c:axId val="570957350"/>
      </c:barChart>
      <c:catAx>
        <c:axId val="12468129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570957350"/>
        <c:crosses val="autoZero"/>
        <c:auto val="1"/>
        <c:lblAlgn val="ctr"/>
        <c:lblOffset val="100"/>
        <c:noMultiLvlLbl val="1"/>
      </c:catAx>
      <c:valAx>
        <c:axId val="5709573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;[Red]\-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24681292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Dashboard!$B$29</c:f>
              <c:strCache>
                <c:ptCount val="1"/>
                <c:pt idx="0">
                  <c:v>Suma de Monto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83C-4508-B8F7-273B5213F7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383C-4508-B8F7-273B5213F7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383C-4508-B8F7-273B5213F7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383C-4508-B8F7-273B5213F7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383C-4508-B8F7-273B5213F7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383C-4508-B8F7-273B5213F709}"/>
              </c:ext>
            </c:extLst>
          </c:dPt>
          <c:dPt>
            <c:idx val="6"/>
            <c:bubble3D val="0"/>
            <c:spPr>
              <a:solidFill>
                <a:srgbClr val="5B90A8"/>
              </a:solidFill>
            </c:spPr>
            <c:extLst>
              <c:ext xmlns:c16="http://schemas.microsoft.com/office/drawing/2014/chart" uri="{C3380CC4-5D6E-409C-BE32-E72D297353CC}">
                <c16:uniqueId val="{0000000D-383C-4508-B8F7-273B5213F709}"/>
              </c:ext>
            </c:extLst>
          </c:dPt>
          <c:cat>
            <c:strRef>
              <c:f>Dashboard!$A$30:$A$36</c:f>
              <c:strCache>
                <c:ptCount val="7"/>
                <c:pt idx="0">
                  <c:v>Débito</c:v>
                </c:pt>
                <c:pt idx="1">
                  <c:v>Depósito</c:v>
                </c:pt>
                <c:pt idx="2">
                  <c:v>Efectivo</c:v>
                </c:pt>
                <c:pt idx="3">
                  <c:v>PayPal</c:v>
                </c:pt>
                <c:pt idx="4">
                  <c:v>Tarjeta de crédito</c:v>
                </c:pt>
                <c:pt idx="5">
                  <c:v>Transferencia</c:v>
                </c:pt>
                <c:pt idx="6">
                  <c:v>Total general</c:v>
                </c:pt>
              </c:strCache>
            </c:strRef>
          </c:cat>
          <c:val>
            <c:numRef>
              <c:f>Dashboard!$B$30:$B$36</c:f>
              <c:numCache>
                <c:formatCode>"$"#,##0.00;[Red]\-"$"#,##0.00</c:formatCode>
                <c:ptCount val="7"/>
                <c:pt idx="0">
                  <c:v>20978.29</c:v>
                </c:pt>
                <c:pt idx="1">
                  <c:v>43581.09</c:v>
                </c:pt>
                <c:pt idx="2">
                  <c:v>68757.39</c:v>
                </c:pt>
                <c:pt idx="3">
                  <c:v>31768.050000000003</c:v>
                </c:pt>
                <c:pt idx="4">
                  <c:v>8935.0299999999988</c:v>
                </c:pt>
                <c:pt idx="5">
                  <c:v>77948.19</c:v>
                </c:pt>
                <c:pt idx="6">
                  <c:v>251968.04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3C-4508-B8F7-273B5213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685800</xdr:colOff>
      <xdr:row>0</xdr:row>
      <xdr:rowOff>76200</xdr:rowOff>
    </xdr:from>
    <xdr:ext cx="1819275" cy="1800225"/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¿Es gasto fijo o variable?_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¿Es gasto fijo o variable?_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45150" y="76200"/>
              <a:ext cx="1819275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oneCellAnchor>
  <xdr:oneCellAnchor>
    <xdr:from>
      <xdr:col>9</xdr:col>
      <xdr:colOff>76200</xdr:colOff>
      <xdr:row>0</xdr:row>
      <xdr:rowOff>95250</xdr:rowOff>
    </xdr:from>
    <xdr:ext cx="2095500" cy="1857375"/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¿Es necesario o prescindible?_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¿Es necesario o prescindible?_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54950" y="95250"/>
              <a:ext cx="209550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oneCellAnchor>
  <xdr:oneCellAnchor>
    <xdr:from>
      <xdr:col>0</xdr:col>
      <xdr:colOff>1066800</xdr:colOff>
      <xdr:row>0</xdr:row>
      <xdr:rowOff>142875</xdr:rowOff>
    </xdr:from>
    <xdr:ext cx="3009900" cy="8096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845813" y="3379950"/>
          <a:ext cx="30003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Ingresos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0</xdr:row>
      <xdr:rowOff>85725</xdr:rowOff>
    </xdr:from>
    <xdr:ext cx="5553075" cy="11239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1</xdr:row>
      <xdr:rowOff>19050</xdr:rowOff>
    </xdr:from>
    <xdr:ext cx="2990850" cy="800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55338" y="3379950"/>
          <a:ext cx="298132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Gastos</a:t>
          </a:r>
          <a:endParaRPr sz="1400"/>
        </a:p>
      </xdr:txBody>
    </xdr:sp>
    <xdr:clientData fLocksWithSheet="0"/>
  </xdr:oneCellAnchor>
  <xdr:oneCellAnchor>
    <xdr:from>
      <xdr:col>0</xdr:col>
      <xdr:colOff>95250</xdr:colOff>
      <xdr:row>0</xdr:row>
      <xdr:rowOff>85725</xdr:rowOff>
    </xdr:from>
    <xdr:ext cx="5553075" cy="1123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704850</xdr:colOff>
      <xdr:row>1</xdr:row>
      <xdr:rowOff>19050</xdr:rowOff>
    </xdr:from>
    <xdr:ext cx="9629775" cy="1390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35875" y="3089438"/>
          <a:ext cx="9620250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Seguimiento de Finanzas Personales</a:t>
          </a:r>
          <a:endParaRPr sz="40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8582025" cy="1733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4857750" cy="2733675"/>
    <xdr:graphicFrame macro="">
      <xdr:nvGraphicFramePr>
        <xdr:cNvPr id="1447093854" name="Chart 1">
          <a:extLst>
            <a:ext uri="{FF2B5EF4-FFF2-40B4-BE49-F238E27FC236}">
              <a16:creationId xmlns:a16="http://schemas.microsoft.com/office/drawing/2014/main" id="{00000000-0008-0000-0300-00005EE64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438150</xdr:colOff>
      <xdr:row>2</xdr:row>
      <xdr:rowOff>0</xdr:rowOff>
    </xdr:from>
    <xdr:ext cx="5895975" cy="1400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2402775" y="3084675"/>
          <a:ext cx="5886450" cy="1390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Resumen </a:t>
          </a:r>
          <a:b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Mensual</a:t>
          </a:r>
          <a:endParaRPr sz="40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0</xdr:col>
      <xdr:colOff>123825</xdr:colOff>
      <xdr:row>0</xdr:row>
      <xdr:rowOff>171450</xdr:rowOff>
    </xdr:from>
    <xdr:ext cx="9020175" cy="15525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2</xdr:row>
      <xdr:rowOff>19050</xdr:rowOff>
    </xdr:from>
    <xdr:ext cx="5781675" cy="15049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2459925" y="3032288"/>
          <a:ext cx="5772150" cy="1495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Concentrado de Movimientos</a:t>
          </a:r>
          <a:endParaRPr sz="40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0</xdr:col>
      <xdr:colOff>0</xdr:colOff>
      <xdr:row>2</xdr:row>
      <xdr:rowOff>76200</xdr:rowOff>
    </xdr:from>
    <xdr:ext cx="7200900" cy="1457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47625</xdr:rowOff>
    </xdr:from>
    <xdr:ext cx="3676650" cy="1704975"/>
    <xdr:graphicFrame macro="">
      <xdr:nvGraphicFramePr>
        <xdr:cNvPr id="1135166112" name="Chart 2">
          <a:extLst>
            <a:ext uri="{FF2B5EF4-FFF2-40B4-BE49-F238E27FC236}">
              <a16:creationId xmlns:a16="http://schemas.microsoft.com/office/drawing/2014/main" id="{00000000-0008-0000-0500-0000A042A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638175</xdr:colOff>
      <xdr:row>12</xdr:row>
      <xdr:rowOff>57150</xdr:rowOff>
    </xdr:from>
    <xdr:ext cx="3752850" cy="2028825"/>
    <xdr:graphicFrame macro="">
      <xdr:nvGraphicFramePr>
        <xdr:cNvPr id="1396036224" name="Chart 3">
          <a:extLst>
            <a:ext uri="{FF2B5EF4-FFF2-40B4-BE49-F238E27FC236}">
              <a16:creationId xmlns:a16="http://schemas.microsoft.com/office/drawing/2014/main" id="{00000000-0008-0000-0500-000080D23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666750</xdr:colOff>
      <xdr:row>24</xdr:row>
      <xdr:rowOff>114300</xdr:rowOff>
    </xdr:from>
    <xdr:ext cx="3724275" cy="2171700"/>
    <xdr:graphicFrame macro="">
      <xdr:nvGraphicFramePr>
        <xdr:cNvPr id="1747385743" name="Chart 4">
          <a:extLst>
            <a:ext uri="{FF2B5EF4-FFF2-40B4-BE49-F238E27FC236}">
              <a16:creationId xmlns:a16="http://schemas.microsoft.com/office/drawing/2014/main" id="{00000000-0008-0000-0500-00008FFD2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8" xr10:uid="{00000000-0013-0000-FFFF-FFFF01000000}" sourceName="¿Es gasto fijo o variable?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9" xr10:uid="{00000000-0013-0000-FFFF-FFFF02000000}" sourceName="¿Es necesario o prescindible?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¿Es gasto fijo o variable?_1" xr10:uid="{00000000-0014-0000-FFFF-FFFF01000000}" cache="SlicerCache_Table_1_Col_8" caption="¿Es gasto fijo o variable?" rowHeight="247650"/>
  <slicer name="¿Es necesario o prescindible?_2" xr10:uid="{00000000-0014-0000-FFFF-FFFF02000000}" cache="SlicerCache_Table_1_Col_9" caption="¿Es necesario o prescindible?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2:J42">
  <autoFilter ref="A12:J42" xr:uid="{00000000-0009-0000-0100-000001000000}"/>
  <tableColumns count="10">
    <tableColumn id="1" xr3:uid="{00000000-0010-0000-0000-000001000000}" name="Fecha"/>
    <tableColumn id="2" xr3:uid="{00000000-0010-0000-0000-000002000000}" name="Categoría"/>
    <tableColumn id="3" xr3:uid="{00000000-0010-0000-0000-000003000000}" name=" Subcategoría"/>
    <tableColumn id="4" xr3:uid="{00000000-0010-0000-0000-000004000000}" name="Descripción"/>
    <tableColumn id="5" xr3:uid="{00000000-0010-0000-0000-000005000000}" name="Tipo (Ingreso/Gasto)"/>
    <tableColumn id="6" xr3:uid="{00000000-0010-0000-0000-000006000000}" name="Monto"/>
    <tableColumn id="7" xr3:uid="{00000000-0010-0000-0000-000007000000}" name="Forma de pago"/>
    <tableColumn id="8" xr3:uid="{00000000-0010-0000-0000-000008000000}" name="¿Es gasto fijo o variable?"/>
    <tableColumn id="9" xr3:uid="{00000000-0010-0000-0000-000009000000}" name="¿Es necesario o prescindible?"/>
    <tableColumn id="10" xr3:uid="{00000000-0010-0000-0000-00000A000000}" name="¿Fue planeado o imprevisto?"/>
  </tableColumns>
  <tableStyleInfo name="Ingres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J31">
  <tableColumns count="10">
    <tableColumn id="1" xr3:uid="{00000000-0010-0000-0100-000001000000}" name="Fecha"/>
    <tableColumn id="2" xr3:uid="{00000000-0010-0000-0100-000002000000}" name="Categoría"/>
    <tableColumn id="3" xr3:uid="{00000000-0010-0000-0100-000003000000}" name=" Subcategoría"/>
    <tableColumn id="4" xr3:uid="{00000000-0010-0000-0100-000004000000}" name="Descripción"/>
    <tableColumn id="5" xr3:uid="{00000000-0010-0000-0100-000005000000}" name="Tipo (Ingreso/Gasto)"/>
    <tableColumn id="6" xr3:uid="{00000000-0010-0000-0100-000006000000}" name="Monto"/>
    <tableColumn id="7" xr3:uid="{00000000-0010-0000-0100-000007000000}" name="Forma de pago"/>
    <tableColumn id="8" xr3:uid="{00000000-0010-0000-0100-000008000000}" name="¿Es gasto fijo o variable?"/>
    <tableColumn id="9" xr3:uid="{00000000-0010-0000-0100-000009000000}" name="¿Es necesario o prescindible?"/>
    <tableColumn id="10" xr3:uid="{00000000-0010-0000-0100-00000A000000}" name="¿Fue planeado o imprevisto?"/>
  </tableColumns>
  <tableStyleInfo name="Gast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8:J68">
  <tableColumns count="10">
    <tableColumn id="1" xr3:uid="{00000000-0010-0000-0200-000001000000}" name="Fecha"/>
    <tableColumn id="2" xr3:uid="{00000000-0010-0000-0200-000002000000}" name="Categoría"/>
    <tableColumn id="3" xr3:uid="{00000000-0010-0000-0200-000003000000}" name=" Subcategoría"/>
    <tableColumn id="4" xr3:uid="{00000000-0010-0000-0200-000004000000}" name="Descripción"/>
    <tableColumn id="5" xr3:uid="{00000000-0010-0000-0200-000005000000}" name="Tipo (Ingreso/Gasto)"/>
    <tableColumn id="6" xr3:uid="{00000000-0010-0000-0200-000006000000}" name="Monto"/>
    <tableColumn id="7" xr3:uid="{00000000-0010-0000-0200-000007000000}" name="Forma de pago"/>
    <tableColumn id="8" xr3:uid="{00000000-0010-0000-0200-000008000000}" name="¿Es gasto fijo o variable?"/>
    <tableColumn id="9" xr3:uid="{00000000-0010-0000-0200-000009000000}" name="¿Es necesario o prescindible?"/>
    <tableColumn id="10" xr3:uid="{00000000-0010-0000-0200-00000A000000}" name="¿Fue planeado o imprevisto?"/>
  </tableColumns>
  <tableStyleInfo name="Concentr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E1" workbookViewId="0">
      <selection activeCell="J4" sqref="J4"/>
    </sheetView>
  </sheetViews>
  <sheetFormatPr baseColWidth="10" defaultColWidth="12.625" defaultRowHeight="15" customHeight="1"/>
  <cols>
    <col min="1" max="1" width="25" customWidth="1"/>
    <col min="2" max="2" width="15" customWidth="1"/>
    <col min="3" max="3" width="26.375" customWidth="1"/>
    <col min="4" max="4" width="45.5" customWidth="1"/>
    <col min="5" max="5" width="26.5" customWidth="1"/>
    <col min="6" max="6" width="40.75" customWidth="1"/>
    <col min="7" max="7" width="21.125" customWidth="1"/>
    <col min="8" max="8" width="31.5" customWidth="1"/>
    <col min="9" max="9" width="37" customWidth="1"/>
    <col min="10" max="10" width="36.125" customWidth="1"/>
    <col min="11" max="26" width="10.625" customWidth="1"/>
  </cols>
  <sheetData>
    <row r="1" spans="1:10" ht="14.25" customHeight="1">
      <c r="F1" s="40" t="s">
        <v>0</v>
      </c>
      <c r="G1" s="41"/>
      <c r="H1" s="42"/>
    </row>
    <row r="2" spans="1:10" ht="14.25" customHeight="1"/>
    <row r="3" spans="1:10" ht="14.25" customHeight="1">
      <c r="E3" s="1" t="e">
        <f t="array" aca="1" ref="E3:E8" ca="1">_xludf.UNIQUE(Ingresos!$C$13:$C$42)</f>
        <v>#NAME?</v>
      </c>
      <c r="F3" s="2" t="s">
        <v>1</v>
      </c>
      <c r="G3" s="43">
        <f>SUM(F13:F42)</f>
        <v>213035.8</v>
      </c>
      <c r="H3" s="42"/>
    </row>
    <row r="4" spans="1:10" ht="14.25" customHeight="1">
      <c r="E4" s="1" t="e">
        <f ca="1"/>
        <v>#NAME?</v>
      </c>
      <c r="F4" s="2" t="s">
        <v>3</v>
      </c>
      <c r="G4" s="43">
        <f>AVERAGE(F13:F42)</f>
        <v>7346.062068965517</v>
      </c>
      <c r="H4" s="42"/>
    </row>
    <row r="5" spans="1:10" ht="14.25" customHeight="1">
      <c r="E5" s="1" t="e">
        <f ca="1"/>
        <v>#NAME?</v>
      </c>
      <c r="F5" s="2" t="s">
        <v>5</v>
      </c>
      <c r="G5" s="43">
        <f>MAX(F13:F42)</f>
        <v>14234.44</v>
      </c>
      <c r="H5" s="42"/>
    </row>
    <row r="6" spans="1:10" ht="14.25" customHeight="1">
      <c r="E6" s="1" t="e">
        <f ca="1"/>
        <v>#NAME?</v>
      </c>
      <c r="F6" s="2" t="s">
        <v>7</v>
      </c>
      <c r="G6" s="43">
        <f>MIN(F13:F42)</f>
        <v>716.49</v>
      </c>
      <c r="H6" s="42"/>
    </row>
    <row r="7" spans="1:10" ht="14.25" customHeight="1">
      <c r="E7" s="1" t="e">
        <f ca="1"/>
        <v>#NAME?</v>
      </c>
      <c r="F7" s="2" t="s">
        <v>9</v>
      </c>
      <c r="G7" s="44">
        <f>COUNT(F13:F42)</f>
        <v>29</v>
      </c>
      <c r="H7" s="42"/>
    </row>
    <row r="8" spans="1:10" ht="14.25" customHeight="1">
      <c r="E8" s="1" t="e">
        <f ca="1"/>
        <v>#NAME?</v>
      </c>
      <c r="F8" s="2" t="s">
        <v>11</v>
      </c>
      <c r="G8" s="44">
        <f>COUNTA(F13:F42)</f>
        <v>30</v>
      </c>
      <c r="H8" s="42"/>
    </row>
    <row r="9" spans="1:10" ht="14.25" customHeight="1">
      <c r="A9" s="2" t="s">
        <v>12</v>
      </c>
      <c r="B9" s="3"/>
      <c r="F9" s="2" t="s">
        <v>13</v>
      </c>
      <c r="G9" s="45">
        <f>SUBTOTAL(9,F14:F62)</f>
        <v>208326.47</v>
      </c>
      <c r="H9" s="42"/>
    </row>
    <row r="10" spans="1:10" ht="14.25" customHeight="1">
      <c r="F10" s="2"/>
      <c r="G10" s="4"/>
      <c r="H10" s="4"/>
    </row>
    <row r="11" spans="1:10" ht="14.25" customHeight="1"/>
    <row r="12" spans="1:10" ht="63" customHeight="1">
      <c r="A12" s="5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6" t="s">
        <v>23</v>
      </c>
    </row>
    <row r="13" spans="1:10" ht="14.25" customHeight="1">
      <c r="A13" s="7">
        <v>45865</v>
      </c>
      <c r="B13" s="8" t="s">
        <v>24</v>
      </c>
      <c r="C13" s="8" t="s">
        <v>25</v>
      </c>
      <c r="D13" s="8" t="s">
        <v>26</v>
      </c>
      <c r="E13" s="8" t="s">
        <v>27</v>
      </c>
      <c r="F13" s="9">
        <v>4709.33</v>
      </c>
      <c r="G13" s="8" t="s">
        <v>28</v>
      </c>
      <c r="H13" s="8" t="s">
        <v>29</v>
      </c>
      <c r="I13" s="8" t="s">
        <v>30</v>
      </c>
      <c r="J13" s="8" t="s">
        <v>31</v>
      </c>
    </row>
    <row r="14" spans="1:10" ht="14.25" customHeight="1">
      <c r="A14" s="7">
        <v>45850</v>
      </c>
      <c r="B14" s="8" t="s">
        <v>24</v>
      </c>
      <c r="C14" s="8" t="s">
        <v>25</v>
      </c>
      <c r="D14" s="8" t="s">
        <v>26</v>
      </c>
      <c r="E14" s="8" t="s">
        <v>27</v>
      </c>
      <c r="F14" s="9">
        <v>8828.7900000000009</v>
      </c>
      <c r="G14" s="8" t="s">
        <v>32</v>
      </c>
      <c r="H14" s="8" t="s">
        <v>29</v>
      </c>
      <c r="I14" s="8" t="s">
        <v>30</v>
      </c>
      <c r="J14" s="8" t="s">
        <v>31</v>
      </c>
    </row>
    <row r="15" spans="1:10" ht="14.25" customHeight="1">
      <c r="A15" s="7">
        <v>45881</v>
      </c>
      <c r="B15" s="8" t="s">
        <v>24</v>
      </c>
      <c r="C15" s="8" t="s">
        <v>25</v>
      </c>
      <c r="D15" s="8" t="s">
        <v>26</v>
      </c>
      <c r="E15" s="8" t="s">
        <v>27</v>
      </c>
      <c r="F15" s="9">
        <v>12365.99</v>
      </c>
      <c r="G15" s="8" t="s">
        <v>28</v>
      </c>
      <c r="H15" s="8" t="s">
        <v>29</v>
      </c>
      <c r="I15" s="8" t="s">
        <v>30</v>
      </c>
      <c r="J15" s="8" t="s">
        <v>31</v>
      </c>
    </row>
    <row r="16" spans="1:10" ht="14.25" customHeight="1">
      <c r="A16" s="7">
        <v>45881</v>
      </c>
      <c r="B16" s="8" t="s">
        <v>24</v>
      </c>
      <c r="C16" s="8" t="s">
        <v>25</v>
      </c>
      <c r="D16" s="8" t="s">
        <v>26</v>
      </c>
      <c r="E16" s="8" t="s">
        <v>27</v>
      </c>
      <c r="F16" s="9">
        <v>12960.63</v>
      </c>
      <c r="G16" s="8" t="s">
        <v>33</v>
      </c>
      <c r="H16" s="8" t="s">
        <v>29</v>
      </c>
      <c r="I16" s="8" t="s">
        <v>30</v>
      </c>
      <c r="J16" s="8" t="s">
        <v>31</v>
      </c>
    </row>
    <row r="17" spans="1:10" ht="14.25" customHeight="1">
      <c r="A17" s="7">
        <v>45886</v>
      </c>
      <c r="B17" s="8" t="s">
        <v>24</v>
      </c>
      <c r="C17" s="8" t="s">
        <v>2</v>
      </c>
      <c r="D17" s="8" t="s">
        <v>34</v>
      </c>
      <c r="E17" s="8" t="s">
        <v>27</v>
      </c>
      <c r="F17" s="9">
        <v>1215.6300000000001</v>
      </c>
      <c r="G17" s="8" t="s">
        <v>35</v>
      </c>
      <c r="H17" s="8" t="s">
        <v>29</v>
      </c>
      <c r="I17" s="8" t="s">
        <v>30</v>
      </c>
      <c r="J17" s="8" t="s">
        <v>36</v>
      </c>
    </row>
    <row r="18" spans="1:10" ht="14.25" customHeight="1">
      <c r="A18" s="7">
        <v>45821</v>
      </c>
      <c r="B18" s="8" t="s">
        <v>24</v>
      </c>
      <c r="C18" s="8" t="s">
        <v>2</v>
      </c>
      <c r="D18" s="8" t="s">
        <v>34</v>
      </c>
      <c r="E18" s="8" t="s">
        <v>27</v>
      </c>
      <c r="F18" s="9">
        <v>6628.01</v>
      </c>
      <c r="G18" s="8" t="s">
        <v>33</v>
      </c>
      <c r="H18" s="8" t="s">
        <v>29</v>
      </c>
      <c r="I18" s="8" t="s">
        <v>30</v>
      </c>
      <c r="J18" s="8" t="s">
        <v>36</v>
      </c>
    </row>
    <row r="19" spans="1:10" ht="14.25" customHeight="1">
      <c r="A19" s="7">
        <v>45841</v>
      </c>
      <c r="B19" s="8" t="s">
        <v>24</v>
      </c>
      <c r="C19" s="8" t="s">
        <v>2</v>
      </c>
      <c r="D19" s="8" t="s">
        <v>34</v>
      </c>
      <c r="E19" s="8" t="s">
        <v>27</v>
      </c>
      <c r="F19" s="9">
        <v>7141.86</v>
      </c>
      <c r="G19" s="8" t="s">
        <v>32</v>
      </c>
      <c r="H19" s="8" t="s">
        <v>29</v>
      </c>
      <c r="I19" s="8" t="s">
        <v>30</v>
      </c>
      <c r="J19" s="8" t="s">
        <v>36</v>
      </c>
    </row>
    <row r="20" spans="1:10" ht="14.25" customHeight="1">
      <c r="A20" s="7">
        <v>45822</v>
      </c>
      <c r="B20" s="8" t="s">
        <v>24</v>
      </c>
      <c r="C20" s="8" t="s">
        <v>2</v>
      </c>
      <c r="D20" s="8" t="s">
        <v>34</v>
      </c>
      <c r="E20" s="8" t="s">
        <v>27</v>
      </c>
      <c r="F20" s="9">
        <v>8616.33</v>
      </c>
      <c r="G20" s="8" t="s">
        <v>32</v>
      </c>
      <c r="H20" s="8" t="s">
        <v>29</v>
      </c>
      <c r="I20" s="8" t="s">
        <v>30</v>
      </c>
      <c r="J20" s="8" t="s">
        <v>36</v>
      </c>
    </row>
    <row r="21" spans="1:10" ht="14.25" customHeight="1">
      <c r="A21" s="7">
        <v>45898</v>
      </c>
      <c r="B21" s="8" t="s">
        <v>24</v>
      </c>
      <c r="C21" s="8" t="s">
        <v>2</v>
      </c>
      <c r="D21" s="8" t="s">
        <v>34</v>
      </c>
      <c r="E21" s="8" t="s">
        <v>27</v>
      </c>
      <c r="F21" s="9">
        <v>10475.23</v>
      </c>
      <c r="G21" s="8" t="s">
        <v>35</v>
      </c>
      <c r="H21" s="8" t="s">
        <v>29</v>
      </c>
      <c r="I21" s="8" t="s">
        <v>30</v>
      </c>
      <c r="J21" s="8" t="s">
        <v>36</v>
      </c>
    </row>
    <row r="22" spans="1:10" ht="14.25" customHeight="1">
      <c r="A22" s="7">
        <v>45880</v>
      </c>
      <c r="B22" s="8" t="s">
        <v>24</v>
      </c>
      <c r="C22" s="8" t="s">
        <v>2</v>
      </c>
      <c r="D22" s="8" t="s">
        <v>34</v>
      </c>
      <c r="E22" s="8" t="s">
        <v>27</v>
      </c>
      <c r="F22" s="9">
        <v>12604.84</v>
      </c>
      <c r="G22" s="8" t="s">
        <v>35</v>
      </c>
      <c r="H22" s="8" t="s">
        <v>29</v>
      </c>
      <c r="I22" s="8" t="s">
        <v>30</v>
      </c>
      <c r="J22" s="8" t="s">
        <v>36</v>
      </c>
    </row>
    <row r="23" spans="1:10" ht="14.25" customHeight="1">
      <c r="A23" s="7">
        <v>45890</v>
      </c>
      <c r="B23" s="8" t="s">
        <v>24</v>
      </c>
      <c r="C23" s="8" t="s">
        <v>2</v>
      </c>
      <c r="D23" s="8" t="s">
        <v>34</v>
      </c>
      <c r="E23" s="8" t="s">
        <v>27</v>
      </c>
      <c r="F23" s="9">
        <v>14118.44</v>
      </c>
      <c r="G23" s="8" t="s">
        <v>32</v>
      </c>
      <c r="H23" s="8" t="s">
        <v>29</v>
      </c>
      <c r="I23" s="8" t="s">
        <v>30</v>
      </c>
      <c r="J23" s="8" t="s">
        <v>36</v>
      </c>
    </row>
    <row r="24" spans="1:10" ht="14.25" customHeight="1">
      <c r="A24" s="7">
        <v>45812</v>
      </c>
      <c r="B24" s="8" t="s">
        <v>24</v>
      </c>
      <c r="C24" s="8" t="s">
        <v>4</v>
      </c>
      <c r="D24" s="8" t="s">
        <v>37</v>
      </c>
      <c r="E24" s="8" t="s">
        <v>27</v>
      </c>
      <c r="F24" s="9">
        <v>7114.39</v>
      </c>
      <c r="G24" s="8" t="s">
        <v>33</v>
      </c>
      <c r="H24" s="8" t="s">
        <v>29</v>
      </c>
      <c r="I24" s="8" t="s">
        <v>38</v>
      </c>
      <c r="J24" s="8" t="s">
        <v>36</v>
      </c>
    </row>
    <row r="25" spans="1:10" ht="14.25" customHeight="1">
      <c r="A25" s="7">
        <v>45866</v>
      </c>
      <c r="B25" s="8" t="s">
        <v>24</v>
      </c>
      <c r="C25" s="8" t="s">
        <v>4</v>
      </c>
      <c r="D25" s="8" t="s">
        <v>37</v>
      </c>
      <c r="E25" s="8" t="s">
        <v>27</v>
      </c>
      <c r="F25" s="9">
        <v>7653.06</v>
      </c>
      <c r="G25" s="8" t="s">
        <v>32</v>
      </c>
      <c r="H25" s="8" t="s">
        <v>29</v>
      </c>
      <c r="I25" s="8" t="s">
        <v>38</v>
      </c>
      <c r="J25" s="8" t="s">
        <v>36</v>
      </c>
    </row>
    <row r="26" spans="1:10" ht="14.25" customHeight="1">
      <c r="A26" s="7">
        <v>45874</v>
      </c>
      <c r="B26" s="8" t="s">
        <v>24</v>
      </c>
      <c r="C26" s="8" t="s">
        <v>4</v>
      </c>
      <c r="D26" s="8" t="s">
        <v>37</v>
      </c>
      <c r="E26" s="8" t="s">
        <v>27</v>
      </c>
      <c r="F26" s="9">
        <v>8414.59</v>
      </c>
      <c r="G26" s="8" t="s">
        <v>32</v>
      </c>
      <c r="H26" s="8" t="s">
        <v>29</v>
      </c>
      <c r="I26" s="8" t="s">
        <v>38</v>
      </c>
      <c r="J26" s="8" t="s">
        <v>36</v>
      </c>
    </row>
    <row r="27" spans="1:10" ht="14.25" customHeight="1">
      <c r="A27" s="7">
        <v>45821</v>
      </c>
      <c r="B27" s="8" t="s">
        <v>24</v>
      </c>
      <c r="C27" s="8" t="s">
        <v>6</v>
      </c>
      <c r="D27" s="8" t="s">
        <v>39</v>
      </c>
      <c r="E27" s="8" t="s">
        <v>27</v>
      </c>
      <c r="F27" s="9">
        <v>1530.69</v>
      </c>
      <c r="G27" s="8" t="s">
        <v>28</v>
      </c>
      <c r="H27" s="8" t="s">
        <v>29</v>
      </c>
      <c r="I27" s="8" t="s">
        <v>30</v>
      </c>
      <c r="J27" s="8" t="s">
        <v>31</v>
      </c>
    </row>
    <row r="28" spans="1:10" ht="14.25" customHeight="1">
      <c r="A28" s="7">
        <v>45854</v>
      </c>
      <c r="B28" s="8" t="s">
        <v>24</v>
      </c>
      <c r="C28" s="8" t="s">
        <v>6</v>
      </c>
      <c r="D28" s="8" t="s">
        <v>39</v>
      </c>
      <c r="E28" s="8" t="s">
        <v>27</v>
      </c>
      <c r="F28" s="9">
        <v>2635.97</v>
      </c>
      <c r="G28" s="8" t="s">
        <v>32</v>
      </c>
      <c r="H28" s="8" t="s">
        <v>29</v>
      </c>
      <c r="I28" s="8" t="s">
        <v>30</v>
      </c>
      <c r="J28" s="8" t="s">
        <v>31</v>
      </c>
    </row>
    <row r="29" spans="1:10" ht="14.25" customHeight="1">
      <c r="A29" s="7">
        <v>45838</v>
      </c>
      <c r="B29" s="8" t="s">
        <v>24</v>
      </c>
      <c r="C29" s="8" t="s">
        <v>6</v>
      </c>
      <c r="D29" s="8" t="s">
        <v>39</v>
      </c>
      <c r="E29" s="8" t="s">
        <v>27</v>
      </c>
      <c r="F29" s="9">
        <v>3198.32</v>
      </c>
      <c r="G29" s="8" t="s">
        <v>28</v>
      </c>
      <c r="H29" s="8" t="s">
        <v>29</v>
      </c>
      <c r="I29" s="8" t="s">
        <v>30</v>
      </c>
      <c r="J29" s="8" t="s">
        <v>31</v>
      </c>
    </row>
    <row r="30" spans="1:10" ht="14.25" customHeight="1">
      <c r="A30" s="7">
        <v>45887</v>
      </c>
      <c r="B30" s="8" t="s">
        <v>24</v>
      </c>
      <c r="C30" s="8" t="s">
        <v>6</v>
      </c>
      <c r="D30" s="8" t="s">
        <v>39</v>
      </c>
      <c r="E30" s="8" t="s">
        <v>27</v>
      </c>
      <c r="F30" s="9">
        <v>4005.52</v>
      </c>
      <c r="G30" s="8" t="s">
        <v>35</v>
      </c>
      <c r="H30" s="8" t="s">
        <v>29</v>
      </c>
      <c r="I30" s="8" t="s">
        <v>30</v>
      </c>
      <c r="J30" s="8" t="s">
        <v>31</v>
      </c>
    </row>
    <row r="31" spans="1:10" ht="14.25" customHeight="1">
      <c r="A31" s="7">
        <v>45882</v>
      </c>
      <c r="B31" s="8" t="s">
        <v>24</v>
      </c>
      <c r="C31" s="8" t="s">
        <v>6</v>
      </c>
      <c r="D31" s="8" t="s">
        <v>39</v>
      </c>
      <c r="E31" s="8" t="s">
        <v>27</v>
      </c>
      <c r="F31" s="9">
        <v>6355.85</v>
      </c>
      <c r="G31" s="8" t="s">
        <v>33</v>
      </c>
      <c r="H31" s="8" t="s">
        <v>29</v>
      </c>
      <c r="I31" s="8" t="s">
        <v>30</v>
      </c>
      <c r="J31" s="8" t="s">
        <v>31</v>
      </c>
    </row>
    <row r="32" spans="1:10" ht="14.25" customHeight="1">
      <c r="A32" s="7">
        <v>45870</v>
      </c>
      <c r="B32" s="8" t="s">
        <v>24</v>
      </c>
      <c r="C32" s="8" t="s">
        <v>6</v>
      </c>
      <c r="D32" s="8" t="s">
        <v>39</v>
      </c>
      <c r="E32" s="8" t="s">
        <v>27</v>
      </c>
      <c r="F32" s="9">
        <v>9175.4599999999991</v>
      </c>
      <c r="G32" s="8" t="s">
        <v>28</v>
      </c>
      <c r="H32" s="8" t="s">
        <v>29</v>
      </c>
      <c r="I32" s="8" t="s">
        <v>30</v>
      </c>
      <c r="J32" s="8" t="s">
        <v>31</v>
      </c>
    </row>
    <row r="33" spans="1:10" ht="14.25" customHeight="1">
      <c r="A33" s="7">
        <v>45890</v>
      </c>
      <c r="B33" s="8" t="s">
        <v>24</v>
      </c>
      <c r="C33" s="8" t="s">
        <v>6</v>
      </c>
      <c r="D33" s="8" t="s">
        <v>39</v>
      </c>
      <c r="E33" s="8" t="s">
        <v>27</v>
      </c>
      <c r="F33" s="9">
        <v>11125.31</v>
      </c>
      <c r="G33" s="8" t="s">
        <v>32</v>
      </c>
      <c r="H33" s="8" t="s">
        <v>29</v>
      </c>
      <c r="I33" s="8" t="s">
        <v>30</v>
      </c>
      <c r="J33" s="8" t="s">
        <v>31</v>
      </c>
    </row>
    <row r="34" spans="1:10" ht="14.25" customHeight="1">
      <c r="A34" s="7">
        <v>45884</v>
      </c>
      <c r="B34" s="8" t="s">
        <v>24</v>
      </c>
      <c r="C34" s="8" t="s">
        <v>8</v>
      </c>
      <c r="D34" s="8" t="s">
        <v>40</v>
      </c>
      <c r="E34" s="8" t="s">
        <v>27</v>
      </c>
      <c r="F34" s="9">
        <v>716.49</v>
      </c>
      <c r="G34" s="8" t="s">
        <v>33</v>
      </c>
      <c r="H34" s="8" t="s">
        <v>41</v>
      </c>
      <c r="I34" s="8" t="s">
        <v>38</v>
      </c>
      <c r="J34" s="8" t="s">
        <v>36</v>
      </c>
    </row>
    <row r="35" spans="1:10" ht="14.25" customHeight="1">
      <c r="A35" s="7">
        <v>45884</v>
      </c>
      <c r="B35" s="8" t="s">
        <v>24</v>
      </c>
      <c r="C35" s="8" t="s">
        <v>8</v>
      </c>
      <c r="D35" s="8" t="s">
        <v>40</v>
      </c>
      <c r="E35" s="8" t="s">
        <v>27</v>
      </c>
      <c r="F35" s="9">
        <v>4151.7</v>
      </c>
      <c r="G35" s="8" t="s">
        <v>28</v>
      </c>
      <c r="H35" s="8" t="s">
        <v>41</v>
      </c>
      <c r="I35" s="8" t="s">
        <v>38</v>
      </c>
      <c r="J35" s="8" t="s">
        <v>36</v>
      </c>
    </row>
    <row r="36" spans="1:10" ht="14.25" customHeight="1">
      <c r="A36" s="7">
        <v>45874</v>
      </c>
      <c r="B36" s="8" t="s">
        <v>24</v>
      </c>
      <c r="C36" s="8" t="s">
        <v>8</v>
      </c>
      <c r="D36" s="8" t="s">
        <v>40</v>
      </c>
      <c r="E36" s="8" t="s">
        <v>27</v>
      </c>
      <c r="F36" s="9">
        <v>9805.7199999999993</v>
      </c>
      <c r="G36" s="8" t="s">
        <v>33</v>
      </c>
      <c r="H36" s="8" t="s">
        <v>41</v>
      </c>
      <c r="I36" s="8" t="s">
        <v>38</v>
      </c>
      <c r="J36" s="8" t="s">
        <v>36</v>
      </c>
    </row>
    <row r="37" spans="1:10" ht="14.25" customHeight="1">
      <c r="A37" s="7">
        <v>45868</v>
      </c>
      <c r="B37" s="8" t="s">
        <v>24</v>
      </c>
      <c r="C37" s="8" t="s">
        <v>8</v>
      </c>
      <c r="D37" s="8" t="s">
        <v>40</v>
      </c>
      <c r="E37" s="8" t="s">
        <v>27</v>
      </c>
      <c r="F37" s="9">
        <v>14234.44</v>
      </c>
      <c r="G37" s="8" t="s">
        <v>28</v>
      </c>
      <c r="H37" s="8" t="s">
        <v>41</v>
      </c>
      <c r="I37" s="8" t="s">
        <v>38</v>
      </c>
      <c r="J37" s="8" t="s">
        <v>36</v>
      </c>
    </row>
    <row r="38" spans="1:10" ht="14.25" customHeight="1">
      <c r="A38" s="7">
        <v>45824</v>
      </c>
      <c r="B38" s="8" t="s">
        <v>24</v>
      </c>
      <c r="C38" s="8" t="s">
        <v>8</v>
      </c>
      <c r="D38" s="8" t="s">
        <v>40</v>
      </c>
      <c r="E38" s="8" t="s">
        <v>27</v>
      </c>
      <c r="F38" s="9" t="s">
        <v>42</v>
      </c>
      <c r="G38" s="8" t="s">
        <v>33</v>
      </c>
      <c r="H38" s="8" t="s">
        <v>41</v>
      </c>
      <c r="I38" s="8" t="s">
        <v>38</v>
      </c>
      <c r="J38" s="8" t="s">
        <v>36</v>
      </c>
    </row>
    <row r="39" spans="1:10" ht="14.25" customHeight="1">
      <c r="A39" s="7">
        <v>45885</v>
      </c>
      <c r="B39" s="8" t="s">
        <v>24</v>
      </c>
      <c r="C39" s="8" t="s">
        <v>10</v>
      </c>
      <c r="D39" s="8" t="s">
        <v>43</v>
      </c>
      <c r="E39" s="8" t="s">
        <v>27</v>
      </c>
      <c r="F39" s="9">
        <v>3466.83</v>
      </c>
      <c r="G39" s="8" t="s">
        <v>35</v>
      </c>
      <c r="H39" s="8" t="s">
        <v>29</v>
      </c>
      <c r="I39" s="8" t="s">
        <v>30</v>
      </c>
      <c r="J39" s="8" t="s">
        <v>31</v>
      </c>
    </row>
    <row r="40" spans="1:10" ht="14.25" customHeight="1">
      <c r="A40" s="7">
        <v>45884</v>
      </c>
      <c r="B40" s="8" t="s">
        <v>24</v>
      </c>
      <c r="C40" s="8" t="s">
        <v>10</v>
      </c>
      <c r="D40" s="8" t="s">
        <v>43</v>
      </c>
      <c r="E40" s="8" t="s">
        <v>27</v>
      </c>
      <c r="F40" s="9">
        <v>4859.7299999999996</v>
      </c>
      <c r="G40" s="8" t="s">
        <v>28</v>
      </c>
      <c r="H40" s="8" t="s">
        <v>29</v>
      </c>
      <c r="I40" s="8" t="s">
        <v>30</v>
      </c>
      <c r="J40" s="8" t="s">
        <v>31</v>
      </c>
    </row>
    <row r="41" spans="1:10" ht="14.25" customHeight="1">
      <c r="A41" s="7">
        <v>45865</v>
      </c>
      <c r="B41" s="8" t="s">
        <v>24</v>
      </c>
      <c r="C41" s="8" t="s">
        <v>10</v>
      </c>
      <c r="D41" s="8" t="s">
        <v>43</v>
      </c>
      <c r="E41" s="8" t="s">
        <v>27</v>
      </c>
      <c r="F41" s="9">
        <v>5505.91</v>
      </c>
      <c r="G41" s="8" t="s">
        <v>32</v>
      </c>
      <c r="H41" s="8" t="s">
        <v>29</v>
      </c>
      <c r="I41" s="8" t="s">
        <v>30</v>
      </c>
      <c r="J41" s="8" t="s">
        <v>31</v>
      </c>
    </row>
    <row r="42" spans="1:10" ht="14.25" customHeight="1">
      <c r="A42" s="7">
        <v>45853</v>
      </c>
      <c r="B42" s="8" t="s">
        <v>24</v>
      </c>
      <c r="C42" s="8" t="s">
        <v>10</v>
      </c>
      <c r="D42" s="8" t="s">
        <v>43</v>
      </c>
      <c r="E42" s="8" t="s">
        <v>27</v>
      </c>
      <c r="F42" s="9">
        <v>9420.74</v>
      </c>
      <c r="G42" s="8" t="s">
        <v>28</v>
      </c>
      <c r="H42" s="8" t="s">
        <v>29</v>
      </c>
      <c r="I42" s="8" t="s">
        <v>30</v>
      </c>
      <c r="J42" s="8" t="s">
        <v>31</v>
      </c>
    </row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C531C171-2913-452A-A10E-3EE18B6FFE5F}" filter="1" showAutoFilter="1">
      <pageMargins left="0.7" right="0.7" top="0.75" bottom="0.75" header="0.3" footer="0.3"/>
      <autoFilter ref="A12:J42" xr:uid="{E584FDBF-49F3-41FE-B1B7-D33C64284627}"/>
      <extLst>
        <ext uri="GoogleSheetsCustomDataVersion1">
          <go:sheetsCustomData xmlns:go="http://customooxmlschemas.google.com/" filterViewId="1658252085"/>
        </ext>
      </extLst>
    </customSheetView>
  </customSheetViews>
  <mergeCells count="8">
    <mergeCell ref="G7:H7"/>
    <mergeCell ref="G8:H8"/>
    <mergeCell ref="G9:H9"/>
    <mergeCell ref="F1:H1"/>
    <mergeCell ref="G3:H3"/>
    <mergeCell ref="G4:H4"/>
    <mergeCell ref="G5:H5"/>
    <mergeCell ref="G6:H6"/>
  </mergeCells>
  <conditionalFormatting sqref="G13:G42">
    <cfRule type="containsText" dxfId="2" priority="1" operator="containsText" text="Depósito">
      <formula>NOT(ISERROR(SEARCH(("Depósito"),(G13))))</formula>
    </cfRule>
  </conditionalFormatting>
  <dataValidations count="2">
    <dataValidation type="list" allowBlank="1" showErrorMessage="1" sqref="B9" xr:uid="{00000000-0002-0000-0000-000000000000}">
      <formula1>$E$3:$E$8</formula1>
    </dataValidation>
    <dataValidation type="list" allowBlank="1" showInputMessage="1" prompt="Error de Dato - Selecciona una opción válida" sqref="G13:G42" xr:uid="{00000000-0002-0000-0000-000001000000}">
      <formula1>"Depósito,Transferencia,Efectivo,Paypal"</formula1>
    </dataValidation>
  </dataValidations>
  <pageMargins left="0.7" right="0.7" top="0.75" bottom="0.75" header="0" footer="0"/>
  <pageSetup orientation="landscape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G3" sqref="G3:H3"/>
    </sheetView>
  </sheetViews>
  <sheetFormatPr baseColWidth="10" defaultColWidth="12.625" defaultRowHeight="15" customHeight="1"/>
  <cols>
    <col min="1" max="1" width="13.125" customWidth="1"/>
    <col min="2" max="2" width="14.625" customWidth="1"/>
    <col min="3" max="3" width="26.375" customWidth="1"/>
    <col min="4" max="4" width="34.5" customWidth="1"/>
    <col min="5" max="5" width="22.375" customWidth="1"/>
    <col min="6" max="6" width="41.125" customWidth="1"/>
    <col min="7" max="7" width="20.375" customWidth="1"/>
    <col min="8" max="8" width="15.125" customWidth="1"/>
    <col min="9" max="9" width="31" customWidth="1"/>
    <col min="10" max="10" width="30.25" customWidth="1"/>
    <col min="11" max="26" width="10.625" customWidth="1"/>
  </cols>
  <sheetData>
    <row r="1" spans="1:10" ht="14.25" customHeight="1">
      <c r="F1" s="40" t="s">
        <v>44</v>
      </c>
      <c r="G1" s="41"/>
      <c r="H1" s="42"/>
    </row>
    <row r="2" spans="1:10" ht="14.25" customHeight="1"/>
    <row r="3" spans="1:10" ht="14.25" customHeight="1">
      <c r="F3" s="2" t="s">
        <v>45</v>
      </c>
      <c r="G3" s="46"/>
      <c r="H3" s="42"/>
    </row>
    <row r="4" spans="1:10" ht="14.25" customHeight="1">
      <c r="F4" s="2" t="s">
        <v>46</v>
      </c>
      <c r="G4" s="46"/>
      <c r="H4" s="42"/>
    </row>
    <row r="5" spans="1:10" ht="14.25" customHeight="1">
      <c r="F5" s="2" t="s">
        <v>47</v>
      </c>
      <c r="G5" s="46"/>
      <c r="H5" s="42"/>
    </row>
    <row r="6" spans="1:10" ht="14.25" customHeight="1">
      <c r="F6" s="2" t="s">
        <v>48</v>
      </c>
      <c r="G6" s="46"/>
      <c r="H6" s="42"/>
    </row>
    <row r="7" spans="1:10" ht="14.25" customHeight="1">
      <c r="F7" s="2" t="s">
        <v>9</v>
      </c>
      <c r="G7" s="46"/>
      <c r="H7" s="42"/>
    </row>
    <row r="8" spans="1:10" ht="14.25" customHeight="1">
      <c r="F8" s="2" t="s">
        <v>11</v>
      </c>
      <c r="G8" s="46"/>
      <c r="H8" s="42"/>
    </row>
    <row r="9" spans="1:10" ht="14.25" customHeight="1"/>
    <row r="10" spans="1:10" ht="14.25" customHeight="1"/>
    <row r="11" spans="1:10" ht="63" customHeight="1">
      <c r="A11" s="10" t="s">
        <v>14</v>
      </c>
      <c r="B11" s="11" t="s">
        <v>15</v>
      </c>
      <c r="C11" s="11" t="s">
        <v>16</v>
      </c>
      <c r="D11" s="11" t="s">
        <v>17</v>
      </c>
      <c r="E11" s="11" t="s">
        <v>18</v>
      </c>
      <c r="F11" s="11" t="s">
        <v>19</v>
      </c>
      <c r="G11" s="11" t="s">
        <v>20</v>
      </c>
      <c r="H11" s="11" t="s">
        <v>21</v>
      </c>
      <c r="I11" s="11" t="s">
        <v>22</v>
      </c>
      <c r="J11" s="11" t="s">
        <v>23</v>
      </c>
    </row>
    <row r="12" spans="1:10" ht="14.25" customHeight="1">
      <c r="A12" s="12">
        <v>45810</v>
      </c>
      <c r="B12" s="13" t="s">
        <v>49</v>
      </c>
      <c r="C12" s="13" t="s">
        <v>50</v>
      </c>
      <c r="D12" s="13" t="s">
        <v>51</v>
      </c>
      <c r="E12" s="13" t="s">
        <v>52</v>
      </c>
      <c r="F12" s="14">
        <v>5110.99</v>
      </c>
      <c r="G12" s="13" t="s">
        <v>28</v>
      </c>
      <c r="H12" s="13" t="s">
        <v>41</v>
      </c>
      <c r="I12" s="13" t="s">
        <v>53</v>
      </c>
      <c r="J12" s="13" t="s">
        <v>54</v>
      </c>
    </row>
    <row r="13" spans="1:10" ht="14.25" customHeight="1">
      <c r="A13" s="12">
        <v>45844</v>
      </c>
      <c r="B13" s="13" t="s">
        <v>49</v>
      </c>
      <c r="C13" s="13" t="s">
        <v>55</v>
      </c>
      <c r="D13" s="13" t="s">
        <v>56</v>
      </c>
      <c r="E13" s="13" t="s">
        <v>52</v>
      </c>
      <c r="F13" s="14">
        <v>6511.16</v>
      </c>
      <c r="G13" s="13" t="s">
        <v>57</v>
      </c>
      <c r="H13" s="13" t="s">
        <v>29</v>
      </c>
      <c r="I13" s="13" t="s">
        <v>38</v>
      </c>
      <c r="J13" s="13" t="s">
        <v>54</v>
      </c>
    </row>
    <row r="14" spans="1:10" ht="14.25" customHeight="1">
      <c r="A14" s="12">
        <v>45845</v>
      </c>
      <c r="B14" s="13" t="s">
        <v>58</v>
      </c>
      <c r="C14" s="13" t="s">
        <v>59</v>
      </c>
      <c r="D14" s="13" t="s">
        <v>60</v>
      </c>
      <c r="E14" s="13" t="s">
        <v>52</v>
      </c>
      <c r="F14" s="14">
        <v>871</v>
      </c>
      <c r="G14" s="13" t="s">
        <v>57</v>
      </c>
      <c r="H14" s="13" t="s">
        <v>41</v>
      </c>
      <c r="I14" s="13" t="s">
        <v>38</v>
      </c>
      <c r="J14" s="13" t="s">
        <v>54</v>
      </c>
    </row>
    <row r="15" spans="1:10" ht="14.25" customHeight="1">
      <c r="A15" s="12">
        <v>45824</v>
      </c>
      <c r="B15" s="13" t="s">
        <v>61</v>
      </c>
      <c r="C15" s="13" t="s">
        <v>62</v>
      </c>
      <c r="D15" s="13" t="s">
        <v>63</v>
      </c>
      <c r="E15" s="13" t="s">
        <v>52</v>
      </c>
      <c r="F15" s="14">
        <v>5862.52</v>
      </c>
      <c r="G15" s="13" t="s">
        <v>32</v>
      </c>
      <c r="H15" s="13" t="s">
        <v>41</v>
      </c>
      <c r="I15" s="13" t="s">
        <v>38</v>
      </c>
      <c r="J15" s="13" t="s">
        <v>36</v>
      </c>
    </row>
    <row r="16" spans="1:10" ht="14.25" customHeight="1">
      <c r="A16" s="12">
        <v>45889</v>
      </c>
      <c r="B16" s="13" t="s">
        <v>61</v>
      </c>
      <c r="C16" s="13" t="s">
        <v>64</v>
      </c>
      <c r="D16" s="13" t="s">
        <v>65</v>
      </c>
      <c r="E16" s="13" t="s">
        <v>52</v>
      </c>
      <c r="F16" s="14">
        <v>3671.38</v>
      </c>
      <c r="G16" s="13" t="s">
        <v>32</v>
      </c>
      <c r="H16" s="13" t="s">
        <v>41</v>
      </c>
      <c r="I16" s="13" t="s">
        <v>53</v>
      </c>
      <c r="J16" s="13" t="s">
        <v>36</v>
      </c>
    </row>
    <row r="17" spans="1:10" ht="14.25" customHeight="1">
      <c r="A17" s="12">
        <v>45870</v>
      </c>
      <c r="B17" s="13" t="s">
        <v>66</v>
      </c>
      <c r="C17" s="13" t="s">
        <v>67</v>
      </c>
      <c r="D17" s="13" t="s">
        <v>68</v>
      </c>
      <c r="E17" s="13" t="s">
        <v>52</v>
      </c>
      <c r="F17" s="14">
        <v>7777.27</v>
      </c>
      <c r="G17" s="13" t="s">
        <v>69</v>
      </c>
      <c r="H17" s="13" t="s">
        <v>29</v>
      </c>
      <c r="I17" s="13" t="s">
        <v>38</v>
      </c>
      <c r="J17" s="13" t="s">
        <v>36</v>
      </c>
    </row>
    <row r="18" spans="1:10" ht="14.25" customHeight="1">
      <c r="A18" s="12">
        <v>45848</v>
      </c>
      <c r="B18" s="13" t="s">
        <v>66</v>
      </c>
      <c r="C18" s="13" t="s">
        <v>67</v>
      </c>
      <c r="D18" s="13" t="s">
        <v>68</v>
      </c>
      <c r="E18" s="13" t="s">
        <v>52</v>
      </c>
      <c r="F18" s="14">
        <v>3365.07</v>
      </c>
      <c r="G18" s="13" t="s">
        <v>69</v>
      </c>
      <c r="H18" s="13" t="s">
        <v>41</v>
      </c>
      <c r="I18" s="13" t="s">
        <v>38</v>
      </c>
      <c r="J18" s="13" t="s">
        <v>54</v>
      </c>
    </row>
    <row r="19" spans="1:10" ht="14.25" customHeight="1">
      <c r="A19" s="12">
        <v>45832</v>
      </c>
      <c r="B19" s="13" t="s">
        <v>66</v>
      </c>
      <c r="C19" s="13" t="s">
        <v>67</v>
      </c>
      <c r="D19" s="13" t="s">
        <v>68</v>
      </c>
      <c r="E19" s="13" t="s">
        <v>52</v>
      </c>
      <c r="F19" s="14">
        <v>2736.75</v>
      </c>
      <c r="G19" s="13" t="s">
        <v>69</v>
      </c>
      <c r="H19" s="13" t="s">
        <v>29</v>
      </c>
      <c r="I19" s="13" t="s">
        <v>53</v>
      </c>
      <c r="J19" s="13" t="s">
        <v>36</v>
      </c>
    </row>
    <row r="20" spans="1:10" ht="14.25" customHeight="1">
      <c r="A20" s="12">
        <v>45838</v>
      </c>
      <c r="B20" s="13" t="s">
        <v>49</v>
      </c>
      <c r="C20" s="13" t="s">
        <v>70</v>
      </c>
      <c r="D20" s="13" t="s">
        <v>71</v>
      </c>
      <c r="E20" s="13" t="s">
        <v>52</v>
      </c>
      <c r="F20" s="14">
        <v>2423.87</v>
      </c>
      <c r="G20" s="13" t="s">
        <v>57</v>
      </c>
      <c r="H20" s="13" t="s">
        <v>41</v>
      </c>
      <c r="I20" s="13" t="s">
        <v>38</v>
      </c>
      <c r="J20" s="13" t="s">
        <v>36</v>
      </c>
    </row>
    <row r="21" spans="1:10" ht="14.25" customHeight="1">
      <c r="A21" s="12">
        <v>45813</v>
      </c>
      <c r="B21" s="13" t="s">
        <v>72</v>
      </c>
      <c r="C21" s="13" t="s">
        <v>73</v>
      </c>
      <c r="D21" s="13" t="s">
        <v>74</v>
      </c>
      <c r="E21" s="13" t="s">
        <v>52</v>
      </c>
      <c r="F21" s="14">
        <v>5537.13</v>
      </c>
      <c r="G21" s="13" t="s">
        <v>57</v>
      </c>
      <c r="H21" s="13" t="s">
        <v>41</v>
      </c>
      <c r="I21" s="13" t="s">
        <v>38</v>
      </c>
      <c r="J21" s="13" t="s">
        <v>54</v>
      </c>
    </row>
    <row r="22" spans="1:10" ht="14.25" customHeight="1">
      <c r="A22" s="12">
        <v>45891</v>
      </c>
      <c r="B22" s="13" t="s">
        <v>75</v>
      </c>
      <c r="C22" s="13" t="s">
        <v>76</v>
      </c>
      <c r="D22" s="13" t="s">
        <v>77</v>
      </c>
      <c r="E22" s="13" t="s">
        <v>52</v>
      </c>
      <c r="F22" s="14">
        <v>2393.54</v>
      </c>
      <c r="G22" s="13" t="s">
        <v>32</v>
      </c>
      <c r="H22" s="13" t="s">
        <v>29</v>
      </c>
      <c r="I22" s="13" t="s">
        <v>38</v>
      </c>
      <c r="J22" s="13" t="s">
        <v>36</v>
      </c>
    </row>
    <row r="23" spans="1:10" ht="14.25" customHeight="1">
      <c r="A23" s="12">
        <v>45866</v>
      </c>
      <c r="B23" s="13" t="s">
        <v>66</v>
      </c>
      <c r="C23" s="13" t="s">
        <v>78</v>
      </c>
      <c r="D23" s="13" t="s">
        <v>79</v>
      </c>
      <c r="E23" s="13" t="s">
        <v>52</v>
      </c>
      <c r="F23" s="14">
        <v>3889.13</v>
      </c>
      <c r="G23" s="13" t="s">
        <v>69</v>
      </c>
      <c r="H23" s="13" t="s">
        <v>29</v>
      </c>
      <c r="I23" s="13" t="s">
        <v>38</v>
      </c>
      <c r="J23" s="13" t="s">
        <v>36</v>
      </c>
    </row>
    <row r="24" spans="1:10" ht="14.25" customHeight="1">
      <c r="A24" s="12">
        <v>45875</v>
      </c>
      <c r="B24" s="13" t="s">
        <v>58</v>
      </c>
      <c r="C24" s="13" t="s">
        <v>59</v>
      </c>
      <c r="D24" s="13" t="s">
        <v>60</v>
      </c>
      <c r="E24" s="13" t="s">
        <v>52</v>
      </c>
      <c r="F24" s="14">
        <v>2759.67</v>
      </c>
      <c r="G24" s="13" t="s">
        <v>32</v>
      </c>
      <c r="H24" s="13" t="s">
        <v>41</v>
      </c>
      <c r="I24" s="13" t="s">
        <v>53</v>
      </c>
      <c r="J24" s="13" t="s">
        <v>36</v>
      </c>
    </row>
    <row r="25" spans="1:10" ht="14.25" customHeight="1">
      <c r="A25" s="12">
        <v>45883</v>
      </c>
      <c r="B25" s="13" t="s">
        <v>66</v>
      </c>
      <c r="C25" s="13" t="s">
        <v>78</v>
      </c>
      <c r="D25" s="13" t="s">
        <v>79</v>
      </c>
      <c r="E25" s="13" t="s">
        <v>52</v>
      </c>
      <c r="F25" s="14">
        <v>1514.39</v>
      </c>
      <c r="G25" s="13" t="s">
        <v>32</v>
      </c>
      <c r="H25" s="13" t="s">
        <v>29</v>
      </c>
      <c r="I25" s="13" t="s">
        <v>38</v>
      </c>
      <c r="J25" s="13" t="s">
        <v>36</v>
      </c>
    </row>
    <row r="26" spans="1:10" ht="14.25" customHeight="1">
      <c r="A26" s="12">
        <v>45899</v>
      </c>
      <c r="B26" s="13" t="s">
        <v>61</v>
      </c>
      <c r="C26" s="13" t="s">
        <v>64</v>
      </c>
      <c r="D26" s="13" t="s">
        <v>65</v>
      </c>
      <c r="E26" s="13" t="s">
        <v>52</v>
      </c>
      <c r="F26" s="14">
        <v>1202.17</v>
      </c>
      <c r="G26" s="13" t="s">
        <v>28</v>
      </c>
      <c r="H26" s="13" t="s">
        <v>29</v>
      </c>
      <c r="I26" s="13" t="s">
        <v>38</v>
      </c>
      <c r="J26" s="13" t="s">
        <v>54</v>
      </c>
    </row>
    <row r="27" spans="1:10" ht="14.25" customHeight="1">
      <c r="A27" s="12">
        <v>45821</v>
      </c>
      <c r="B27" s="13" t="s">
        <v>66</v>
      </c>
      <c r="C27" s="13" t="s">
        <v>80</v>
      </c>
      <c r="D27" s="13" t="s">
        <v>81</v>
      </c>
      <c r="E27" s="13" t="s">
        <v>52</v>
      </c>
      <c r="F27" s="14">
        <v>3210.07</v>
      </c>
      <c r="G27" s="13" t="s">
        <v>69</v>
      </c>
      <c r="H27" s="13" t="s">
        <v>29</v>
      </c>
      <c r="I27" s="13" t="s">
        <v>53</v>
      </c>
      <c r="J27" s="13" t="s">
        <v>54</v>
      </c>
    </row>
    <row r="28" spans="1:10" ht="14.25" customHeight="1">
      <c r="A28" s="12">
        <v>45816</v>
      </c>
      <c r="B28" s="13" t="s">
        <v>58</v>
      </c>
      <c r="C28" s="13" t="s">
        <v>82</v>
      </c>
      <c r="D28" s="13" t="s">
        <v>83</v>
      </c>
      <c r="E28" s="13" t="s">
        <v>52</v>
      </c>
      <c r="F28" s="14">
        <v>6594.83</v>
      </c>
      <c r="G28" s="13" t="s">
        <v>32</v>
      </c>
      <c r="H28" s="13" t="s">
        <v>41</v>
      </c>
      <c r="I28" s="13" t="s">
        <v>53</v>
      </c>
      <c r="J28" s="13" t="s">
        <v>36</v>
      </c>
    </row>
    <row r="29" spans="1:10" ht="14.25" customHeight="1">
      <c r="A29" s="12">
        <v>45853</v>
      </c>
      <c r="B29" s="13" t="s">
        <v>58</v>
      </c>
      <c r="C29" s="13" t="s">
        <v>59</v>
      </c>
      <c r="D29" s="13" t="s">
        <v>60</v>
      </c>
      <c r="E29" s="13" t="s">
        <v>52</v>
      </c>
      <c r="F29" s="14">
        <v>7689.08</v>
      </c>
      <c r="G29" s="13" t="s">
        <v>32</v>
      </c>
      <c r="H29" s="13" t="s">
        <v>29</v>
      </c>
      <c r="I29" s="13" t="s">
        <v>38</v>
      </c>
      <c r="J29" s="13" t="s">
        <v>54</v>
      </c>
    </row>
    <row r="30" spans="1:10" ht="14.25" customHeight="1">
      <c r="A30" s="12">
        <v>45881</v>
      </c>
      <c r="B30" s="13" t="s">
        <v>61</v>
      </c>
      <c r="C30" s="13" t="s">
        <v>64</v>
      </c>
      <c r="D30" s="13" t="s">
        <v>65</v>
      </c>
      <c r="E30" s="13" t="s">
        <v>52</v>
      </c>
      <c r="F30" s="14">
        <v>5707.35</v>
      </c>
      <c r="G30" s="13" t="s">
        <v>57</v>
      </c>
      <c r="H30" s="13" t="s">
        <v>29</v>
      </c>
      <c r="I30" s="13" t="s">
        <v>38</v>
      </c>
      <c r="J30" s="13" t="s">
        <v>54</v>
      </c>
    </row>
    <row r="31" spans="1:10" ht="14.25" customHeight="1">
      <c r="A31" s="12">
        <v>45887</v>
      </c>
      <c r="B31" s="13" t="s">
        <v>72</v>
      </c>
      <c r="C31" s="13" t="s">
        <v>84</v>
      </c>
      <c r="D31" s="13" t="s">
        <v>85</v>
      </c>
      <c r="E31" s="13" t="s">
        <v>52</v>
      </c>
      <c r="F31" s="14">
        <v>7337.65</v>
      </c>
      <c r="G31" s="13" t="s">
        <v>57</v>
      </c>
      <c r="H31" s="13" t="s">
        <v>29</v>
      </c>
      <c r="I31" s="13" t="s">
        <v>38</v>
      </c>
      <c r="J31" s="13" t="s">
        <v>36</v>
      </c>
    </row>
    <row r="32" spans="1:10" ht="14.25" customHeight="1">
      <c r="A32" s="15"/>
      <c r="B32" s="16"/>
      <c r="C32" s="16"/>
      <c r="D32" s="16"/>
      <c r="E32" s="16"/>
      <c r="F32" s="16"/>
      <c r="G32" s="16"/>
      <c r="H32" s="16"/>
      <c r="I32" s="16"/>
      <c r="J32" s="16"/>
    </row>
    <row r="33" spans="1:10" ht="14.25" customHeight="1">
      <c r="A33" s="15"/>
      <c r="B33" s="16"/>
      <c r="C33" s="16"/>
      <c r="D33" s="16"/>
      <c r="E33" s="16"/>
      <c r="F33" s="16"/>
      <c r="G33" s="16"/>
      <c r="H33" s="16"/>
      <c r="I33" s="16"/>
      <c r="J33" s="16"/>
    </row>
    <row r="34" spans="1:10" ht="14.25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14.25" customHeight="1">
      <c r="A35" s="15"/>
      <c r="B35" s="16"/>
      <c r="C35" s="16"/>
      <c r="D35" s="16"/>
      <c r="E35" s="16"/>
      <c r="F35" s="16"/>
      <c r="G35" s="16"/>
      <c r="H35" s="16"/>
      <c r="I35" s="16"/>
      <c r="J35" s="16"/>
    </row>
    <row r="36" spans="1:10" ht="14.25" customHeight="1">
      <c r="A36" s="15"/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14.25" customHeight="1">
      <c r="A37" s="15"/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14.25" customHeight="1">
      <c r="A38" s="15"/>
      <c r="B38" s="16"/>
      <c r="C38" s="16"/>
      <c r="D38" s="16"/>
      <c r="E38" s="16"/>
      <c r="F38" s="16"/>
      <c r="G38" s="16"/>
      <c r="H38" s="16"/>
      <c r="I38" s="16"/>
      <c r="J38" s="16"/>
    </row>
    <row r="39" spans="1:10" ht="14.25" customHeight="1">
      <c r="A39" s="15"/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14.25" customHeight="1">
      <c r="A40" s="15"/>
      <c r="B40" s="16"/>
      <c r="C40" s="16"/>
      <c r="D40" s="16"/>
      <c r="E40" s="16"/>
      <c r="F40" s="16"/>
      <c r="G40" s="16"/>
      <c r="H40" s="16"/>
      <c r="I40" s="16"/>
      <c r="J40" s="16"/>
    </row>
    <row r="41" spans="1:10" ht="14.25" customHeight="1">
      <c r="A41" s="15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G7:H7"/>
    <mergeCell ref="G8:H8"/>
    <mergeCell ref="F1:H1"/>
    <mergeCell ref="G3:H3"/>
    <mergeCell ref="G4:H4"/>
    <mergeCell ref="G5:H5"/>
    <mergeCell ref="G6:H6"/>
  </mergeCells>
  <conditionalFormatting sqref="G12:G31">
    <cfRule type="containsText" dxfId="1" priority="1" operator="containsText" text="Depósito">
      <formula>NOT(ISERROR(SEARCH(("Depósito"),(G12))))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A14" sqref="A14:J69"/>
    </sheetView>
  </sheetViews>
  <sheetFormatPr baseColWidth="10" defaultColWidth="12.625" defaultRowHeight="15" customHeight="1"/>
  <cols>
    <col min="1" max="1" width="17.875" customWidth="1"/>
    <col min="2" max="2" width="10.625" customWidth="1"/>
    <col min="3" max="3" width="14.625" customWidth="1"/>
    <col min="4" max="4" width="36.125" customWidth="1"/>
    <col min="5" max="5" width="17" customWidth="1"/>
    <col min="6" max="6" width="10.625" customWidth="1"/>
    <col min="7" max="7" width="19.5" customWidth="1"/>
    <col min="8" max="8" width="10.625" customWidth="1"/>
    <col min="9" max="9" width="16.5" customWidth="1"/>
    <col min="10" max="10" width="15.625" customWidth="1"/>
    <col min="11" max="26" width="10.625" customWidth="1"/>
  </cols>
  <sheetData>
    <row r="1" spans="1:12" ht="14.25" customHeight="1">
      <c r="A1" s="17"/>
    </row>
    <row r="2" spans="1:12" ht="14.25" customHeight="1">
      <c r="A2" s="17"/>
    </row>
    <row r="3" spans="1:12" ht="14.25" customHeight="1">
      <c r="A3" s="17"/>
    </row>
    <row r="4" spans="1:12" ht="14.25" customHeight="1">
      <c r="A4" s="17"/>
      <c r="K4" s="18">
        <v>1</v>
      </c>
      <c r="L4" s="19" t="s">
        <v>86</v>
      </c>
    </row>
    <row r="5" spans="1:12" ht="14.25" customHeight="1">
      <c r="A5" s="17"/>
      <c r="K5" s="18">
        <v>2</v>
      </c>
      <c r="L5" s="19" t="s">
        <v>87</v>
      </c>
    </row>
    <row r="6" spans="1:12" ht="14.25" customHeight="1">
      <c r="A6" s="17"/>
      <c r="K6" s="18">
        <v>3</v>
      </c>
      <c r="L6" s="19" t="s">
        <v>88</v>
      </c>
    </row>
    <row r="7" spans="1:12" ht="14.25" customHeight="1">
      <c r="A7" s="17"/>
    </row>
    <row r="8" spans="1:12" ht="14.25" customHeight="1">
      <c r="A8" s="17"/>
    </row>
    <row r="9" spans="1:12" ht="14.25" customHeight="1">
      <c r="A9" s="17"/>
    </row>
    <row r="10" spans="1:12" ht="14.25" customHeight="1">
      <c r="A10" s="17"/>
    </row>
    <row r="11" spans="1:12" ht="14.25" customHeight="1">
      <c r="A11" s="17"/>
      <c r="K11" s="20"/>
    </row>
    <row r="12" spans="1:12" ht="14.25" customHeight="1">
      <c r="A12" s="17"/>
    </row>
    <row r="13" spans="1:12" ht="14.25" customHeight="1">
      <c r="A13" s="17"/>
    </row>
    <row r="14" spans="1:12" ht="45" customHeight="1">
      <c r="A14" s="21" t="s">
        <v>14</v>
      </c>
      <c r="B14" s="22" t="s">
        <v>15</v>
      </c>
      <c r="C14" s="22" t="s">
        <v>16</v>
      </c>
      <c r="D14" s="22" t="s">
        <v>17</v>
      </c>
      <c r="E14" s="22" t="s">
        <v>18</v>
      </c>
      <c r="F14" s="22" t="s">
        <v>19</v>
      </c>
      <c r="G14" s="22" t="s">
        <v>20</v>
      </c>
      <c r="H14" s="22" t="s">
        <v>21</v>
      </c>
      <c r="I14" s="22" t="s">
        <v>22</v>
      </c>
      <c r="J14" s="22" t="s">
        <v>23</v>
      </c>
    </row>
    <row r="15" spans="1:12" ht="14.25" customHeight="1">
      <c r="A15" s="23" t="s">
        <v>89</v>
      </c>
      <c r="B15" s="24" t="s">
        <v>90</v>
      </c>
      <c r="C15" s="24" t="s">
        <v>91</v>
      </c>
      <c r="D15" s="24" t="s">
        <v>92</v>
      </c>
      <c r="E15" s="24" t="s">
        <v>52</v>
      </c>
      <c r="F15" s="24">
        <v>2597.8000000000002</v>
      </c>
      <c r="G15" s="24" t="s">
        <v>32</v>
      </c>
      <c r="H15" s="24" t="s">
        <v>29</v>
      </c>
      <c r="I15" s="24" t="s">
        <v>53</v>
      </c>
      <c r="J15" s="24" t="s">
        <v>54</v>
      </c>
    </row>
    <row r="16" spans="1:12" ht="14.25" customHeight="1">
      <c r="A16" s="23" t="s">
        <v>93</v>
      </c>
      <c r="B16" s="24" t="s">
        <v>61</v>
      </c>
      <c r="C16" s="24" t="s">
        <v>62</v>
      </c>
      <c r="D16" s="24" t="s">
        <v>94</v>
      </c>
      <c r="E16" s="24" t="s">
        <v>52</v>
      </c>
      <c r="F16" s="24">
        <v>7366.08</v>
      </c>
      <c r="G16" s="24" t="s">
        <v>28</v>
      </c>
      <c r="H16" s="24" t="s">
        <v>41</v>
      </c>
      <c r="I16" s="24" t="s">
        <v>53</v>
      </c>
      <c r="J16" s="24" t="s">
        <v>36</v>
      </c>
    </row>
    <row r="17" spans="1:10" ht="14.25" customHeight="1">
      <c r="A17" s="23" t="s">
        <v>95</v>
      </c>
      <c r="B17" s="24" t="s">
        <v>96</v>
      </c>
      <c r="C17" s="24" t="s">
        <v>97</v>
      </c>
      <c r="D17" s="24" t="s">
        <v>98</v>
      </c>
      <c r="E17" s="24" t="s">
        <v>52</v>
      </c>
      <c r="F17" s="24">
        <v>3354.56</v>
      </c>
      <c r="G17" s="24" t="s">
        <v>32</v>
      </c>
      <c r="H17" s="24" t="s">
        <v>41</v>
      </c>
      <c r="I17" s="24" t="s">
        <v>53</v>
      </c>
      <c r="J17" s="24" t="s">
        <v>54</v>
      </c>
    </row>
    <row r="18" spans="1:10" ht="14.25" customHeight="1">
      <c r="A18" s="23" t="s">
        <v>99</v>
      </c>
      <c r="B18" s="24" t="s">
        <v>90</v>
      </c>
      <c r="C18" s="24" t="s">
        <v>91</v>
      </c>
      <c r="D18" s="24" t="s">
        <v>92</v>
      </c>
      <c r="E18" s="24" t="s">
        <v>52</v>
      </c>
      <c r="F18" s="24">
        <v>187.73</v>
      </c>
      <c r="G18" s="24" t="s">
        <v>100</v>
      </c>
      <c r="H18" s="24" t="s">
        <v>29</v>
      </c>
      <c r="I18" s="24" t="s">
        <v>53</v>
      </c>
      <c r="J18" s="24" t="s">
        <v>36</v>
      </c>
    </row>
    <row r="19" spans="1:10" ht="14.25" customHeight="1">
      <c r="A19" s="23" t="s">
        <v>101</v>
      </c>
      <c r="B19" s="24" t="s">
        <v>72</v>
      </c>
      <c r="C19" s="24" t="s">
        <v>102</v>
      </c>
      <c r="D19" s="24" t="s">
        <v>103</v>
      </c>
      <c r="E19" s="24" t="s">
        <v>52</v>
      </c>
      <c r="F19" s="24">
        <v>220.88</v>
      </c>
      <c r="G19" s="24" t="s">
        <v>28</v>
      </c>
      <c r="H19" s="24" t="s">
        <v>41</v>
      </c>
      <c r="I19" s="24" t="s">
        <v>53</v>
      </c>
      <c r="J19" s="24" t="s">
        <v>36</v>
      </c>
    </row>
    <row r="20" spans="1:10" ht="14.25" customHeight="1">
      <c r="A20" s="23" t="s">
        <v>104</v>
      </c>
      <c r="B20" s="24" t="s">
        <v>24</v>
      </c>
      <c r="C20" s="24" t="s">
        <v>8</v>
      </c>
      <c r="D20" s="24" t="s">
        <v>105</v>
      </c>
      <c r="E20" s="24" t="s">
        <v>27</v>
      </c>
      <c r="F20" s="24">
        <v>13677.7</v>
      </c>
      <c r="G20" s="24" t="s">
        <v>57</v>
      </c>
      <c r="H20" s="24" t="s">
        <v>41</v>
      </c>
      <c r="I20" s="24" t="s">
        <v>38</v>
      </c>
      <c r="J20" s="24" t="s">
        <v>54</v>
      </c>
    </row>
    <row r="21" spans="1:10" ht="14.25" customHeight="1">
      <c r="A21" s="23" t="s">
        <v>89</v>
      </c>
      <c r="B21" s="24" t="s">
        <v>90</v>
      </c>
      <c r="C21" s="24" t="s">
        <v>106</v>
      </c>
      <c r="D21" s="24" t="s">
        <v>107</v>
      </c>
      <c r="E21" s="24" t="s">
        <v>52</v>
      </c>
      <c r="F21" s="24">
        <v>4654.6499999999996</v>
      </c>
      <c r="G21" s="24" t="s">
        <v>57</v>
      </c>
      <c r="H21" s="24" t="s">
        <v>29</v>
      </c>
      <c r="I21" s="24" t="s">
        <v>53</v>
      </c>
      <c r="J21" s="24" t="s">
        <v>36</v>
      </c>
    </row>
    <row r="22" spans="1:10" ht="14.25" customHeight="1">
      <c r="A22" s="23" t="s">
        <v>108</v>
      </c>
      <c r="B22" s="24" t="s">
        <v>75</v>
      </c>
      <c r="C22" s="24" t="s">
        <v>109</v>
      </c>
      <c r="D22" s="24" t="s">
        <v>110</v>
      </c>
      <c r="E22" s="24" t="s">
        <v>52</v>
      </c>
      <c r="F22" s="24">
        <v>4945.16</v>
      </c>
      <c r="G22" s="24" t="s">
        <v>32</v>
      </c>
      <c r="H22" s="24" t="s">
        <v>29</v>
      </c>
      <c r="I22" s="24" t="s">
        <v>38</v>
      </c>
      <c r="J22" s="24" t="s">
        <v>54</v>
      </c>
    </row>
    <row r="23" spans="1:10" ht="14.25" customHeight="1">
      <c r="A23" s="23" t="s">
        <v>111</v>
      </c>
      <c r="B23" s="24" t="s">
        <v>72</v>
      </c>
      <c r="C23" s="24" t="s">
        <v>102</v>
      </c>
      <c r="D23" s="24" t="s">
        <v>103</v>
      </c>
      <c r="E23" s="24" t="s">
        <v>52</v>
      </c>
      <c r="F23" s="24">
        <v>7973.49</v>
      </c>
      <c r="G23" s="24" t="s">
        <v>32</v>
      </c>
      <c r="H23" s="24" t="s">
        <v>29</v>
      </c>
      <c r="I23" s="24" t="s">
        <v>38</v>
      </c>
      <c r="J23" s="24" t="s">
        <v>36</v>
      </c>
    </row>
    <row r="24" spans="1:10" ht="14.25" customHeight="1">
      <c r="A24" s="23" t="s">
        <v>95</v>
      </c>
      <c r="B24" s="24" t="s">
        <v>96</v>
      </c>
      <c r="C24" s="24" t="s">
        <v>97</v>
      </c>
      <c r="D24" s="24" t="s">
        <v>98</v>
      </c>
      <c r="E24" s="24" t="s">
        <v>52</v>
      </c>
      <c r="F24" s="24">
        <v>7006.06</v>
      </c>
      <c r="G24" s="24" t="s">
        <v>32</v>
      </c>
      <c r="H24" s="24" t="s">
        <v>29</v>
      </c>
      <c r="I24" s="24" t="s">
        <v>38</v>
      </c>
      <c r="J24" s="24" t="s">
        <v>36</v>
      </c>
    </row>
    <row r="25" spans="1:10" ht="14.25" customHeight="1">
      <c r="A25" s="23" t="s">
        <v>112</v>
      </c>
      <c r="B25" s="24" t="s">
        <v>61</v>
      </c>
      <c r="C25" s="24" t="s">
        <v>62</v>
      </c>
      <c r="D25" s="24" t="s">
        <v>94</v>
      </c>
      <c r="E25" s="24" t="s">
        <v>52</v>
      </c>
      <c r="F25" s="24">
        <v>2915.05</v>
      </c>
      <c r="G25" s="24" t="s">
        <v>57</v>
      </c>
      <c r="H25" s="24" t="s">
        <v>29</v>
      </c>
      <c r="I25" s="24" t="s">
        <v>53</v>
      </c>
      <c r="J25" s="24" t="s">
        <v>54</v>
      </c>
    </row>
    <row r="26" spans="1:10" ht="14.25" customHeight="1">
      <c r="A26" s="23" t="s">
        <v>93</v>
      </c>
      <c r="B26" s="24" t="s">
        <v>61</v>
      </c>
      <c r="C26" s="24" t="s">
        <v>62</v>
      </c>
      <c r="D26" s="24" t="s">
        <v>94</v>
      </c>
      <c r="E26" s="24" t="s">
        <v>52</v>
      </c>
      <c r="F26" s="24">
        <v>4465.3999999999996</v>
      </c>
      <c r="G26" s="24" t="s">
        <v>57</v>
      </c>
      <c r="H26" s="24" t="s">
        <v>29</v>
      </c>
      <c r="I26" s="24" t="s">
        <v>38</v>
      </c>
      <c r="J26" s="24" t="s">
        <v>54</v>
      </c>
    </row>
    <row r="27" spans="1:10" ht="14.25" customHeight="1">
      <c r="A27" s="23" t="s">
        <v>113</v>
      </c>
      <c r="B27" s="24" t="s">
        <v>24</v>
      </c>
      <c r="C27" s="24" t="s">
        <v>2</v>
      </c>
      <c r="D27" s="24" t="s">
        <v>114</v>
      </c>
      <c r="E27" s="24" t="s">
        <v>27</v>
      </c>
      <c r="F27" s="24">
        <v>12697.22</v>
      </c>
      <c r="G27" s="24" t="s">
        <v>57</v>
      </c>
      <c r="H27" s="24" t="s">
        <v>29</v>
      </c>
      <c r="I27" s="24" t="s">
        <v>53</v>
      </c>
      <c r="J27" s="24" t="s">
        <v>54</v>
      </c>
    </row>
    <row r="28" spans="1:10" ht="14.25" customHeight="1">
      <c r="A28" s="23" t="s">
        <v>115</v>
      </c>
      <c r="B28" s="24" t="s">
        <v>96</v>
      </c>
      <c r="C28" s="24" t="s">
        <v>97</v>
      </c>
      <c r="D28" s="24" t="s">
        <v>98</v>
      </c>
      <c r="E28" s="24" t="s">
        <v>52</v>
      </c>
      <c r="F28" s="24">
        <v>1285.24</v>
      </c>
      <c r="G28" s="24" t="s">
        <v>32</v>
      </c>
      <c r="H28" s="24" t="s">
        <v>29</v>
      </c>
      <c r="I28" s="24" t="s">
        <v>38</v>
      </c>
      <c r="J28" s="24" t="s">
        <v>54</v>
      </c>
    </row>
    <row r="29" spans="1:10" ht="14.25" customHeight="1">
      <c r="A29" s="23" t="s">
        <v>116</v>
      </c>
      <c r="B29" s="24" t="s">
        <v>75</v>
      </c>
      <c r="C29" s="24" t="s">
        <v>117</v>
      </c>
      <c r="D29" s="24" t="s">
        <v>118</v>
      </c>
      <c r="E29" s="24" t="s">
        <v>52</v>
      </c>
      <c r="F29" s="24">
        <v>915.29</v>
      </c>
      <c r="G29" s="24" t="s">
        <v>28</v>
      </c>
      <c r="H29" s="24" t="s">
        <v>29</v>
      </c>
      <c r="I29" s="24" t="s">
        <v>53</v>
      </c>
      <c r="J29" s="24" t="s">
        <v>36</v>
      </c>
    </row>
    <row r="30" spans="1:10" ht="14.25" customHeight="1">
      <c r="A30" s="23" t="s">
        <v>119</v>
      </c>
      <c r="B30" s="24" t="s">
        <v>96</v>
      </c>
      <c r="C30" s="24" t="s">
        <v>120</v>
      </c>
      <c r="D30" s="24" t="s">
        <v>121</v>
      </c>
      <c r="E30" s="24" t="s">
        <v>52</v>
      </c>
      <c r="F30" s="24">
        <v>1826.42</v>
      </c>
      <c r="G30" s="24" t="s">
        <v>28</v>
      </c>
      <c r="H30" s="24" t="s">
        <v>29</v>
      </c>
      <c r="I30" s="24" t="s">
        <v>53</v>
      </c>
      <c r="J30" s="24" t="s">
        <v>36</v>
      </c>
    </row>
    <row r="31" spans="1:10" ht="14.25" customHeight="1">
      <c r="A31" s="23" t="s">
        <v>122</v>
      </c>
      <c r="B31" s="24" t="s">
        <v>90</v>
      </c>
      <c r="C31" s="24" t="s">
        <v>123</v>
      </c>
      <c r="D31" s="24" t="s">
        <v>124</v>
      </c>
      <c r="E31" s="24" t="s">
        <v>52</v>
      </c>
      <c r="F31" s="24">
        <v>3152.06</v>
      </c>
      <c r="G31" s="24" t="s">
        <v>32</v>
      </c>
      <c r="H31" s="24" t="s">
        <v>41</v>
      </c>
      <c r="I31" s="24" t="s">
        <v>53</v>
      </c>
      <c r="J31" s="24" t="s">
        <v>54</v>
      </c>
    </row>
    <row r="32" spans="1:10" ht="14.25" customHeight="1">
      <c r="A32" s="23" t="s">
        <v>125</v>
      </c>
      <c r="B32" s="24" t="s">
        <v>72</v>
      </c>
      <c r="C32" s="24" t="s">
        <v>102</v>
      </c>
      <c r="D32" s="24" t="s">
        <v>103</v>
      </c>
      <c r="E32" s="24" t="s">
        <v>52</v>
      </c>
      <c r="F32" s="24">
        <v>4893.8999999999996</v>
      </c>
      <c r="G32" s="24" t="s">
        <v>57</v>
      </c>
      <c r="H32" s="24" t="s">
        <v>41</v>
      </c>
      <c r="I32" s="24" t="s">
        <v>53</v>
      </c>
      <c r="J32" s="24" t="s">
        <v>54</v>
      </c>
    </row>
    <row r="33" spans="1:10" ht="14.25" customHeight="1">
      <c r="A33" s="23" t="s">
        <v>126</v>
      </c>
      <c r="B33" s="24" t="s">
        <v>96</v>
      </c>
      <c r="C33" s="24" t="s">
        <v>127</v>
      </c>
      <c r="D33" s="24" t="s">
        <v>128</v>
      </c>
      <c r="E33" s="24" t="s">
        <v>52</v>
      </c>
      <c r="F33" s="24">
        <v>2048.69</v>
      </c>
      <c r="G33" s="24" t="s">
        <v>100</v>
      </c>
      <c r="H33" s="24" t="s">
        <v>29</v>
      </c>
      <c r="I33" s="24" t="s">
        <v>53</v>
      </c>
      <c r="J33" s="24" t="s">
        <v>36</v>
      </c>
    </row>
    <row r="34" spans="1:10" ht="14.25" customHeight="1">
      <c r="A34" s="23" t="s">
        <v>119</v>
      </c>
      <c r="B34" s="24" t="s">
        <v>72</v>
      </c>
      <c r="C34" s="24" t="s">
        <v>102</v>
      </c>
      <c r="D34" s="24" t="s">
        <v>103</v>
      </c>
      <c r="E34" s="24" t="s">
        <v>52</v>
      </c>
      <c r="F34" s="24">
        <v>7859.46</v>
      </c>
      <c r="G34" s="24" t="s">
        <v>28</v>
      </c>
      <c r="H34" s="24" t="s">
        <v>29</v>
      </c>
      <c r="I34" s="24" t="s">
        <v>53</v>
      </c>
      <c r="J34" s="24" t="s">
        <v>36</v>
      </c>
    </row>
    <row r="35" spans="1:10" ht="14.25" customHeight="1">
      <c r="A35" s="23" t="s">
        <v>129</v>
      </c>
      <c r="B35" s="24" t="s">
        <v>24</v>
      </c>
      <c r="C35" s="24" t="s">
        <v>8</v>
      </c>
      <c r="D35" s="24" t="s">
        <v>105</v>
      </c>
      <c r="E35" s="24" t="s">
        <v>27</v>
      </c>
      <c r="F35" s="24">
        <v>14117.43</v>
      </c>
      <c r="G35" s="24" t="s">
        <v>100</v>
      </c>
      <c r="H35" s="24" t="s">
        <v>29</v>
      </c>
      <c r="I35" s="24" t="s">
        <v>38</v>
      </c>
      <c r="J35" s="24" t="s">
        <v>54</v>
      </c>
    </row>
    <row r="36" spans="1:10" ht="14.25" customHeight="1">
      <c r="A36" s="23" t="s">
        <v>130</v>
      </c>
      <c r="B36" s="24" t="s">
        <v>75</v>
      </c>
      <c r="C36" s="24" t="s">
        <v>109</v>
      </c>
      <c r="D36" s="24" t="s">
        <v>110</v>
      </c>
      <c r="E36" s="24" t="s">
        <v>52</v>
      </c>
      <c r="F36" s="24">
        <v>3400.94</v>
      </c>
      <c r="G36" s="24" t="s">
        <v>32</v>
      </c>
      <c r="H36" s="24" t="s">
        <v>41</v>
      </c>
      <c r="I36" s="24" t="s">
        <v>53</v>
      </c>
      <c r="J36" s="24" t="s">
        <v>36</v>
      </c>
    </row>
    <row r="37" spans="1:10" ht="14.25" customHeight="1">
      <c r="A37" s="23" t="s">
        <v>131</v>
      </c>
      <c r="B37" s="24" t="s">
        <v>75</v>
      </c>
      <c r="C37" s="24" t="s">
        <v>117</v>
      </c>
      <c r="D37" s="24" t="s">
        <v>118</v>
      </c>
      <c r="E37" s="24" t="s">
        <v>52</v>
      </c>
      <c r="F37" s="24">
        <v>3859.6</v>
      </c>
      <c r="G37" s="24" t="s">
        <v>32</v>
      </c>
      <c r="H37" s="24" t="s">
        <v>29</v>
      </c>
      <c r="I37" s="24" t="s">
        <v>53</v>
      </c>
      <c r="J37" s="24" t="s">
        <v>36</v>
      </c>
    </row>
    <row r="38" spans="1:10" ht="14.25" customHeight="1">
      <c r="A38" s="23" t="s">
        <v>132</v>
      </c>
      <c r="B38" s="24" t="s">
        <v>24</v>
      </c>
      <c r="C38" s="24" t="s">
        <v>8</v>
      </c>
      <c r="D38" s="24" t="s">
        <v>105</v>
      </c>
      <c r="E38" s="24" t="s">
        <v>27</v>
      </c>
      <c r="F38" s="24">
        <v>15506.26</v>
      </c>
      <c r="G38" s="24" t="s">
        <v>32</v>
      </c>
      <c r="H38" s="24" t="s">
        <v>41</v>
      </c>
      <c r="I38" s="24" t="s">
        <v>38</v>
      </c>
      <c r="J38" s="24" t="s">
        <v>54</v>
      </c>
    </row>
    <row r="39" spans="1:10" ht="14.25" customHeight="1">
      <c r="A39" s="23" t="s">
        <v>133</v>
      </c>
      <c r="B39" s="24" t="s">
        <v>96</v>
      </c>
      <c r="C39" s="24" t="s">
        <v>127</v>
      </c>
      <c r="D39" s="24" t="s">
        <v>128</v>
      </c>
      <c r="E39" s="24" t="s">
        <v>52</v>
      </c>
      <c r="F39" s="24">
        <v>7874.68</v>
      </c>
      <c r="G39" s="24" t="s">
        <v>100</v>
      </c>
      <c r="H39" s="24" t="s">
        <v>41</v>
      </c>
      <c r="I39" s="24" t="s">
        <v>53</v>
      </c>
      <c r="J39" s="24" t="s">
        <v>36</v>
      </c>
    </row>
    <row r="40" spans="1:10" ht="14.25" customHeight="1">
      <c r="A40" s="23">
        <v>45447</v>
      </c>
      <c r="B40" s="24" t="s">
        <v>24</v>
      </c>
      <c r="C40" s="24" t="s">
        <v>4</v>
      </c>
      <c r="D40" s="24" t="s">
        <v>37</v>
      </c>
      <c r="E40" s="24" t="s">
        <v>27</v>
      </c>
      <c r="F40" s="24">
        <v>7114.39</v>
      </c>
      <c r="G40" s="24" t="s">
        <v>33</v>
      </c>
      <c r="H40" s="24" t="s">
        <v>29</v>
      </c>
      <c r="I40" s="24" t="s">
        <v>38</v>
      </c>
      <c r="J40" s="24" t="s">
        <v>36</v>
      </c>
    </row>
    <row r="41" spans="1:10" ht="14.25" customHeight="1">
      <c r="A41" s="23">
        <v>45456</v>
      </c>
      <c r="B41" s="24" t="s">
        <v>24</v>
      </c>
      <c r="C41" s="24" t="s">
        <v>2</v>
      </c>
      <c r="D41" s="24" t="s">
        <v>34</v>
      </c>
      <c r="E41" s="24" t="s">
        <v>27</v>
      </c>
      <c r="F41" s="24">
        <v>6628.01</v>
      </c>
      <c r="G41" s="24" t="s">
        <v>33</v>
      </c>
      <c r="H41" s="24" t="s">
        <v>29</v>
      </c>
      <c r="I41" s="24" t="s">
        <v>30</v>
      </c>
      <c r="J41" s="24" t="s">
        <v>36</v>
      </c>
    </row>
    <row r="42" spans="1:10" ht="14.25" customHeight="1">
      <c r="A42" s="23">
        <v>45456</v>
      </c>
      <c r="B42" s="24" t="s">
        <v>24</v>
      </c>
      <c r="C42" s="24" t="s">
        <v>6</v>
      </c>
      <c r="D42" s="24" t="s">
        <v>39</v>
      </c>
      <c r="E42" s="24" t="s">
        <v>27</v>
      </c>
      <c r="F42" s="24">
        <v>1530.69</v>
      </c>
      <c r="G42" s="24" t="s">
        <v>28</v>
      </c>
      <c r="H42" s="24" t="s">
        <v>29</v>
      </c>
      <c r="I42" s="24" t="s">
        <v>30</v>
      </c>
      <c r="J42" s="24" t="s">
        <v>31</v>
      </c>
    </row>
    <row r="43" spans="1:10" ht="14.25" customHeight="1">
      <c r="A43" s="23">
        <v>45457</v>
      </c>
      <c r="B43" s="24" t="s">
        <v>24</v>
      </c>
      <c r="C43" s="24" t="s">
        <v>2</v>
      </c>
      <c r="D43" s="24" t="s">
        <v>34</v>
      </c>
      <c r="E43" s="24" t="s">
        <v>27</v>
      </c>
      <c r="F43" s="24">
        <v>8616.33</v>
      </c>
      <c r="G43" s="24" t="s">
        <v>32</v>
      </c>
      <c r="H43" s="24" t="s">
        <v>29</v>
      </c>
      <c r="I43" s="24" t="s">
        <v>30</v>
      </c>
      <c r="J43" s="24" t="s">
        <v>36</v>
      </c>
    </row>
    <row r="44" spans="1:10" ht="14.25" customHeight="1">
      <c r="A44" s="23">
        <v>45459</v>
      </c>
      <c r="B44" s="24" t="s">
        <v>24</v>
      </c>
      <c r="C44" s="24" t="s">
        <v>8</v>
      </c>
      <c r="D44" s="24" t="s">
        <v>40</v>
      </c>
      <c r="E44" s="24" t="s">
        <v>27</v>
      </c>
      <c r="F44" s="24">
        <v>8792.85</v>
      </c>
      <c r="G44" s="24" t="s">
        <v>33</v>
      </c>
      <c r="H44" s="24" t="s">
        <v>41</v>
      </c>
      <c r="I44" s="24" t="s">
        <v>38</v>
      </c>
      <c r="J44" s="24" t="s">
        <v>36</v>
      </c>
    </row>
    <row r="45" spans="1:10" ht="14.25" customHeight="1">
      <c r="A45" s="23">
        <v>45473</v>
      </c>
      <c r="B45" s="24" t="s">
        <v>24</v>
      </c>
      <c r="C45" s="24" t="s">
        <v>6</v>
      </c>
      <c r="D45" s="24" t="s">
        <v>39</v>
      </c>
      <c r="E45" s="24" t="s">
        <v>27</v>
      </c>
      <c r="F45" s="24">
        <v>3198.32</v>
      </c>
      <c r="G45" s="24" t="s">
        <v>28</v>
      </c>
      <c r="H45" s="24" t="s">
        <v>29</v>
      </c>
      <c r="I45" s="24" t="s">
        <v>30</v>
      </c>
      <c r="J45" s="24" t="s">
        <v>31</v>
      </c>
    </row>
    <row r="46" spans="1:10" ht="14.25" customHeight="1">
      <c r="A46" s="23">
        <v>45476</v>
      </c>
      <c r="B46" s="24" t="s">
        <v>24</v>
      </c>
      <c r="C46" s="24" t="s">
        <v>2</v>
      </c>
      <c r="D46" s="24" t="s">
        <v>34</v>
      </c>
      <c r="E46" s="24" t="s">
        <v>27</v>
      </c>
      <c r="F46" s="24">
        <v>7141.86</v>
      </c>
      <c r="G46" s="24" t="s">
        <v>32</v>
      </c>
      <c r="H46" s="24" t="s">
        <v>29</v>
      </c>
      <c r="I46" s="24" t="s">
        <v>30</v>
      </c>
      <c r="J46" s="24" t="s">
        <v>36</v>
      </c>
    </row>
    <row r="47" spans="1:10" ht="14.25" customHeight="1">
      <c r="A47" s="23">
        <v>45485</v>
      </c>
      <c r="B47" s="24" t="s">
        <v>24</v>
      </c>
      <c r="C47" s="24" t="s">
        <v>25</v>
      </c>
      <c r="D47" s="24" t="s">
        <v>26</v>
      </c>
      <c r="E47" s="24" t="s">
        <v>27</v>
      </c>
      <c r="F47" s="24">
        <v>8828.7900000000009</v>
      </c>
      <c r="G47" s="24" t="s">
        <v>32</v>
      </c>
      <c r="H47" s="24" t="s">
        <v>29</v>
      </c>
      <c r="I47" s="24" t="s">
        <v>30</v>
      </c>
      <c r="J47" s="24" t="s">
        <v>31</v>
      </c>
    </row>
    <row r="48" spans="1:10" ht="14.25" customHeight="1">
      <c r="A48" s="23">
        <v>45488</v>
      </c>
      <c r="B48" s="24" t="s">
        <v>24</v>
      </c>
      <c r="C48" s="24" t="s">
        <v>10</v>
      </c>
      <c r="D48" s="24" t="s">
        <v>43</v>
      </c>
      <c r="E48" s="24" t="s">
        <v>27</v>
      </c>
      <c r="F48" s="24">
        <v>9420.74</v>
      </c>
      <c r="G48" s="24" t="s">
        <v>28</v>
      </c>
      <c r="H48" s="24" t="s">
        <v>29</v>
      </c>
      <c r="I48" s="24" t="s">
        <v>30</v>
      </c>
      <c r="J48" s="24" t="s">
        <v>31</v>
      </c>
    </row>
    <row r="49" spans="1:10" ht="14.25" customHeight="1">
      <c r="A49" s="23">
        <v>45489</v>
      </c>
      <c r="B49" s="24" t="s">
        <v>24</v>
      </c>
      <c r="C49" s="24" t="s">
        <v>6</v>
      </c>
      <c r="D49" s="24" t="s">
        <v>39</v>
      </c>
      <c r="E49" s="24" t="s">
        <v>27</v>
      </c>
      <c r="F49" s="24">
        <v>2635.97</v>
      </c>
      <c r="G49" s="24" t="s">
        <v>32</v>
      </c>
      <c r="H49" s="24" t="s">
        <v>29</v>
      </c>
      <c r="I49" s="24" t="s">
        <v>30</v>
      </c>
      <c r="J49" s="24" t="s">
        <v>31</v>
      </c>
    </row>
    <row r="50" spans="1:10" ht="14.25" customHeight="1">
      <c r="A50" s="23">
        <v>45500</v>
      </c>
      <c r="B50" s="24" t="s">
        <v>24</v>
      </c>
      <c r="C50" s="24" t="s">
        <v>10</v>
      </c>
      <c r="D50" s="24" t="s">
        <v>43</v>
      </c>
      <c r="E50" s="24" t="s">
        <v>27</v>
      </c>
      <c r="F50" s="24">
        <v>5505.91</v>
      </c>
      <c r="G50" s="24" t="s">
        <v>32</v>
      </c>
      <c r="H50" s="24" t="s">
        <v>29</v>
      </c>
      <c r="I50" s="24" t="s">
        <v>30</v>
      </c>
      <c r="J50" s="24" t="s">
        <v>31</v>
      </c>
    </row>
    <row r="51" spans="1:10" ht="14.25" customHeight="1">
      <c r="A51" s="23">
        <v>45500</v>
      </c>
      <c r="B51" s="24" t="s">
        <v>24</v>
      </c>
      <c r="C51" s="24" t="s">
        <v>25</v>
      </c>
      <c r="D51" s="24" t="s">
        <v>26</v>
      </c>
      <c r="E51" s="24" t="s">
        <v>27</v>
      </c>
      <c r="F51" s="24">
        <v>4709.33</v>
      </c>
      <c r="G51" s="24" t="s">
        <v>33</v>
      </c>
      <c r="H51" s="24" t="s">
        <v>29</v>
      </c>
      <c r="I51" s="24" t="s">
        <v>30</v>
      </c>
      <c r="J51" s="24" t="s">
        <v>31</v>
      </c>
    </row>
    <row r="52" spans="1:10" ht="14.25" customHeight="1">
      <c r="A52" s="23">
        <v>45501</v>
      </c>
      <c r="B52" s="24" t="s">
        <v>24</v>
      </c>
      <c r="C52" s="24" t="s">
        <v>4</v>
      </c>
      <c r="D52" s="24" t="s">
        <v>37</v>
      </c>
      <c r="E52" s="24" t="s">
        <v>27</v>
      </c>
      <c r="F52" s="24">
        <v>7653.06</v>
      </c>
      <c r="G52" s="24" t="s">
        <v>32</v>
      </c>
      <c r="H52" s="24" t="s">
        <v>29</v>
      </c>
      <c r="I52" s="24" t="s">
        <v>38</v>
      </c>
      <c r="J52" s="24" t="s">
        <v>36</v>
      </c>
    </row>
    <row r="53" spans="1:10" ht="14.25" customHeight="1">
      <c r="A53" s="23">
        <v>45503</v>
      </c>
      <c r="B53" s="24" t="s">
        <v>24</v>
      </c>
      <c r="C53" s="24" t="s">
        <v>8</v>
      </c>
      <c r="D53" s="24" t="s">
        <v>40</v>
      </c>
      <c r="E53" s="24" t="s">
        <v>27</v>
      </c>
      <c r="F53" s="24">
        <v>14234.44</v>
      </c>
      <c r="G53" s="24" t="s">
        <v>28</v>
      </c>
      <c r="H53" s="24" t="s">
        <v>41</v>
      </c>
      <c r="I53" s="24" t="s">
        <v>38</v>
      </c>
      <c r="J53" s="24" t="s">
        <v>36</v>
      </c>
    </row>
    <row r="54" spans="1:10" ht="14.25" customHeight="1">
      <c r="A54" s="23">
        <v>45505</v>
      </c>
      <c r="B54" s="24" t="s">
        <v>24</v>
      </c>
      <c r="C54" s="24" t="s">
        <v>6</v>
      </c>
      <c r="D54" s="24" t="s">
        <v>39</v>
      </c>
      <c r="E54" s="24" t="s">
        <v>27</v>
      </c>
      <c r="F54" s="24">
        <v>9175.4599999999991</v>
      </c>
      <c r="G54" s="24" t="s">
        <v>28</v>
      </c>
      <c r="H54" s="24" t="s">
        <v>29</v>
      </c>
      <c r="I54" s="24" t="s">
        <v>30</v>
      </c>
      <c r="J54" s="24" t="s">
        <v>31</v>
      </c>
    </row>
    <row r="55" spans="1:10" ht="14.25" customHeight="1">
      <c r="A55" s="23">
        <v>45509</v>
      </c>
      <c r="B55" s="24" t="s">
        <v>24</v>
      </c>
      <c r="C55" s="24" t="s">
        <v>4</v>
      </c>
      <c r="D55" s="24" t="s">
        <v>37</v>
      </c>
      <c r="E55" s="24" t="s">
        <v>27</v>
      </c>
      <c r="F55" s="24">
        <v>8414.59</v>
      </c>
      <c r="G55" s="24" t="s">
        <v>32</v>
      </c>
      <c r="H55" s="24" t="s">
        <v>29</v>
      </c>
      <c r="I55" s="24" t="s">
        <v>38</v>
      </c>
      <c r="J55" s="24" t="s">
        <v>36</v>
      </c>
    </row>
    <row r="56" spans="1:10" ht="14.25" customHeight="1">
      <c r="A56" s="23">
        <v>45509</v>
      </c>
      <c r="B56" s="24" t="s">
        <v>24</v>
      </c>
      <c r="C56" s="24" t="s">
        <v>8</v>
      </c>
      <c r="D56" s="24" t="s">
        <v>40</v>
      </c>
      <c r="E56" s="24" t="s">
        <v>27</v>
      </c>
      <c r="F56" s="24">
        <v>9805.7199999999993</v>
      </c>
      <c r="G56" s="24" t="s">
        <v>33</v>
      </c>
      <c r="H56" s="24" t="s">
        <v>41</v>
      </c>
      <c r="I56" s="24" t="s">
        <v>38</v>
      </c>
      <c r="J56" s="24" t="s">
        <v>36</v>
      </c>
    </row>
    <row r="57" spans="1:10" ht="14.25" customHeight="1">
      <c r="A57" s="23">
        <v>45515</v>
      </c>
      <c r="B57" s="24" t="s">
        <v>24</v>
      </c>
      <c r="C57" s="24" t="s">
        <v>2</v>
      </c>
      <c r="D57" s="24" t="s">
        <v>34</v>
      </c>
      <c r="E57" s="24" t="s">
        <v>27</v>
      </c>
      <c r="F57" s="24">
        <v>12604.84</v>
      </c>
      <c r="G57" s="24" t="s">
        <v>35</v>
      </c>
      <c r="H57" s="24" t="s">
        <v>29</v>
      </c>
      <c r="I57" s="24" t="s">
        <v>30</v>
      </c>
      <c r="J57" s="24" t="s">
        <v>36</v>
      </c>
    </row>
    <row r="58" spans="1:10" ht="14.25" customHeight="1">
      <c r="A58" s="23">
        <v>45516</v>
      </c>
      <c r="B58" s="24" t="s">
        <v>24</v>
      </c>
      <c r="C58" s="24" t="s">
        <v>25</v>
      </c>
      <c r="D58" s="24" t="s">
        <v>26</v>
      </c>
      <c r="E58" s="24" t="s">
        <v>27</v>
      </c>
      <c r="F58" s="24">
        <v>12960.63</v>
      </c>
      <c r="G58" s="24" t="s">
        <v>33</v>
      </c>
      <c r="H58" s="24" t="s">
        <v>29</v>
      </c>
      <c r="I58" s="24" t="s">
        <v>30</v>
      </c>
      <c r="J58" s="24" t="s">
        <v>31</v>
      </c>
    </row>
    <row r="59" spans="1:10" ht="14.25" customHeight="1">
      <c r="A59" s="23">
        <v>45516</v>
      </c>
      <c r="B59" s="24" t="s">
        <v>24</v>
      </c>
      <c r="C59" s="24" t="s">
        <v>25</v>
      </c>
      <c r="D59" s="24" t="s">
        <v>26</v>
      </c>
      <c r="E59" s="24" t="s">
        <v>27</v>
      </c>
      <c r="F59" s="24">
        <v>12365.99</v>
      </c>
      <c r="G59" s="24" t="s">
        <v>28</v>
      </c>
      <c r="H59" s="24" t="s">
        <v>29</v>
      </c>
      <c r="I59" s="24" t="s">
        <v>30</v>
      </c>
      <c r="J59" s="24" t="s">
        <v>31</v>
      </c>
    </row>
    <row r="60" spans="1:10" ht="14.25" customHeight="1">
      <c r="A60" s="23">
        <v>45517</v>
      </c>
      <c r="B60" s="24" t="s">
        <v>24</v>
      </c>
      <c r="C60" s="24" t="s">
        <v>6</v>
      </c>
      <c r="D60" s="24" t="s">
        <v>39</v>
      </c>
      <c r="E60" s="24" t="s">
        <v>27</v>
      </c>
      <c r="F60" s="24">
        <v>6355.85</v>
      </c>
      <c r="G60" s="24" t="s">
        <v>33</v>
      </c>
      <c r="H60" s="24" t="s">
        <v>29</v>
      </c>
      <c r="I60" s="24" t="s">
        <v>30</v>
      </c>
      <c r="J60" s="24" t="s">
        <v>31</v>
      </c>
    </row>
    <row r="61" spans="1:10" ht="14.25" customHeight="1">
      <c r="A61" s="23">
        <v>45519</v>
      </c>
      <c r="B61" s="24" t="s">
        <v>24</v>
      </c>
      <c r="C61" s="24" t="s">
        <v>8</v>
      </c>
      <c r="D61" s="24" t="s">
        <v>40</v>
      </c>
      <c r="E61" s="24" t="s">
        <v>27</v>
      </c>
      <c r="F61" s="24">
        <v>4151.7</v>
      </c>
      <c r="G61" s="24" t="s">
        <v>28</v>
      </c>
      <c r="H61" s="24" t="s">
        <v>41</v>
      </c>
      <c r="I61" s="24" t="s">
        <v>38</v>
      </c>
      <c r="J61" s="24" t="s">
        <v>36</v>
      </c>
    </row>
    <row r="62" spans="1:10" ht="14.25" customHeight="1">
      <c r="A62" s="23">
        <v>45519</v>
      </c>
      <c r="B62" s="24" t="s">
        <v>24</v>
      </c>
      <c r="C62" s="24" t="s">
        <v>10</v>
      </c>
      <c r="D62" s="24" t="s">
        <v>43</v>
      </c>
      <c r="E62" s="24" t="s">
        <v>27</v>
      </c>
      <c r="F62" s="24">
        <v>4859.7299999999996</v>
      </c>
      <c r="G62" s="24" t="s">
        <v>28</v>
      </c>
      <c r="H62" s="24" t="s">
        <v>29</v>
      </c>
      <c r="I62" s="24" t="s">
        <v>30</v>
      </c>
      <c r="J62" s="24" t="s">
        <v>31</v>
      </c>
    </row>
    <row r="63" spans="1:10" ht="14.25" customHeight="1">
      <c r="A63" s="23">
        <v>45519</v>
      </c>
      <c r="B63" s="24" t="s">
        <v>24</v>
      </c>
      <c r="C63" s="24" t="s">
        <v>8</v>
      </c>
      <c r="D63" s="24" t="s">
        <v>40</v>
      </c>
      <c r="E63" s="24" t="s">
        <v>27</v>
      </c>
      <c r="F63" s="24">
        <v>716.49</v>
      </c>
      <c r="G63" s="24" t="s">
        <v>33</v>
      </c>
      <c r="H63" s="24" t="s">
        <v>41</v>
      </c>
      <c r="I63" s="24" t="s">
        <v>38</v>
      </c>
      <c r="J63" s="24" t="s">
        <v>36</v>
      </c>
    </row>
    <row r="64" spans="1:10" ht="14.25" customHeight="1">
      <c r="A64" s="23">
        <v>45520</v>
      </c>
      <c r="B64" s="24" t="s">
        <v>24</v>
      </c>
      <c r="C64" s="24" t="s">
        <v>10</v>
      </c>
      <c r="D64" s="24" t="s">
        <v>43</v>
      </c>
      <c r="E64" s="24" t="s">
        <v>27</v>
      </c>
      <c r="F64" s="24">
        <v>3466.83</v>
      </c>
      <c r="G64" s="24" t="s">
        <v>35</v>
      </c>
      <c r="H64" s="24" t="s">
        <v>29</v>
      </c>
      <c r="I64" s="24" t="s">
        <v>30</v>
      </c>
      <c r="J64" s="24" t="s">
        <v>31</v>
      </c>
    </row>
    <row r="65" spans="1:10" ht="14.25" customHeight="1">
      <c r="A65" s="23">
        <v>45521</v>
      </c>
      <c r="B65" s="24" t="s">
        <v>24</v>
      </c>
      <c r="C65" s="24" t="s">
        <v>2</v>
      </c>
      <c r="D65" s="24" t="s">
        <v>34</v>
      </c>
      <c r="E65" s="24" t="s">
        <v>27</v>
      </c>
      <c r="F65" s="24">
        <v>1215.6300000000001</v>
      </c>
      <c r="G65" s="24" t="s">
        <v>35</v>
      </c>
      <c r="H65" s="24" t="s">
        <v>29</v>
      </c>
      <c r="I65" s="24" t="s">
        <v>30</v>
      </c>
      <c r="J65" s="24" t="s">
        <v>36</v>
      </c>
    </row>
    <row r="66" spans="1:10" ht="14.25" customHeight="1">
      <c r="A66" s="23">
        <v>45522</v>
      </c>
      <c r="B66" s="24" t="s">
        <v>24</v>
      </c>
      <c r="C66" s="24" t="s">
        <v>6</v>
      </c>
      <c r="D66" s="24" t="s">
        <v>39</v>
      </c>
      <c r="E66" s="24" t="s">
        <v>27</v>
      </c>
      <c r="F66" s="24">
        <v>4005.52</v>
      </c>
      <c r="G66" s="24" t="s">
        <v>35</v>
      </c>
      <c r="H66" s="24" t="s">
        <v>29</v>
      </c>
      <c r="I66" s="24" t="s">
        <v>30</v>
      </c>
      <c r="J66" s="24" t="s">
        <v>31</v>
      </c>
    </row>
    <row r="67" spans="1:10" ht="14.25" customHeight="1">
      <c r="A67" s="23">
        <v>45525</v>
      </c>
      <c r="B67" s="24" t="s">
        <v>24</v>
      </c>
      <c r="C67" s="24" t="s">
        <v>2</v>
      </c>
      <c r="D67" s="24" t="s">
        <v>34</v>
      </c>
      <c r="E67" s="24" t="s">
        <v>27</v>
      </c>
      <c r="F67" s="24">
        <v>14118.44</v>
      </c>
      <c r="G67" s="24" t="s">
        <v>32</v>
      </c>
      <c r="H67" s="24" t="s">
        <v>29</v>
      </c>
      <c r="I67" s="24" t="s">
        <v>30</v>
      </c>
      <c r="J67" s="24" t="s">
        <v>36</v>
      </c>
    </row>
    <row r="68" spans="1:10" ht="14.25" customHeight="1">
      <c r="A68" s="23">
        <v>45525</v>
      </c>
      <c r="B68" s="24" t="s">
        <v>24</v>
      </c>
      <c r="C68" s="24" t="s">
        <v>6</v>
      </c>
      <c r="D68" s="24" t="s">
        <v>39</v>
      </c>
      <c r="E68" s="24" t="s">
        <v>27</v>
      </c>
      <c r="F68" s="24">
        <v>11125.31</v>
      </c>
      <c r="G68" s="24" t="s">
        <v>32</v>
      </c>
      <c r="H68" s="24" t="s">
        <v>29</v>
      </c>
      <c r="I68" s="24" t="s">
        <v>30</v>
      </c>
      <c r="J68" s="24" t="s">
        <v>31</v>
      </c>
    </row>
    <row r="69" spans="1:10" ht="14.25" customHeight="1">
      <c r="A69" s="23">
        <v>45533</v>
      </c>
      <c r="B69" s="24" t="s">
        <v>24</v>
      </c>
      <c r="C69" s="24" t="s">
        <v>2</v>
      </c>
      <c r="D69" s="24" t="s">
        <v>34</v>
      </c>
      <c r="E69" s="24" t="s">
        <v>27</v>
      </c>
      <c r="F69" s="24">
        <v>10475.23</v>
      </c>
      <c r="G69" s="24" t="s">
        <v>35</v>
      </c>
      <c r="H69" s="24" t="s">
        <v>29</v>
      </c>
      <c r="I69" s="24" t="s">
        <v>30</v>
      </c>
      <c r="J69" s="24" t="s">
        <v>36</v>
      </c>
    </row>
    <row r="70" spans="1:10" ht="14.25" customHeight="1">
      <c r="A70" s="17"/>
    </row>
    <row r="71" spans="1:10" ht="14.25" customHeight="1">
      <c r="A71" s="17"/>
    </row>
    <row r="72" spans="1:10" ht="14.25" customHeight="1">
      <c r="A72" s="17"/>
    </row>
    <row r="73" spans="1:10" ht="14.25" customHeight="1">
      <c r="A73" s="17"/>
    </row>
    <row r="74" spans="1:10" ht="14.25" customHeight="1">
      <c r="A74" s="17"/>
    </row>
    <row r="75" spans="1:10" ht="14.25" customHeight="1">
      <c r="A75" s="17"/>
    </row>
    <row r="76" spans="1:10" ht="14.25" customHeight="1">
      <c r="A76" s="17"/>
    </row>
    <row r="77" spans="1:10" ht="14.25" customHeight="1">
      <c r="A77" s="17"/>
    </row>
    <row r="78" spans="1:10" ht="14.25" customHeight="1">
      <c r="A78" s="17"/>
    </row>
    <row r="79" spans="1:10" ht="14.25" customHeight="1">
      <c r="A79" s="17"/>
    </row>
    <row r="80" spans="1:10" ht="14.25" customHeight="1">
      <c r="A80" s="17"/>
    </row>
    <row r="81" spans="1:1" ht="14.25" customHeight="1">
      <c r="A81" s="17"/>
    </row>
    <row r="82" spans="1:1" ht="14.25" customHeight="1">
      <c r="A82" s="17"/>
    </row>
    <row r="83" spans="1:1" ht="14.25" customHeight="1">
      <c r="A83" s="17"/>
    </row>
    <row r="84" spans="1:1" ht="14.25" customHeight="1">
      <c r="A84" s="17"/>
    </row>
    <row r="85" spans="1:1" ht="14.25" customHeight="1">
      <c r="A85" s="17"/>
    </row>
    <row r="86" spans="1:1" ht="14.25" customHeight="1">
      <c r="A86" s="17"/>
    </row>
    <row r="87" spans="1:1" ht="14.25" customHeight="1">
      <c r="A87" s="17"/>
    </row>
    <row r="88" spans="1:1" ht="14.25" customHeight="1">
      <c r="A88" s="17"/>
    </row>
    <row r="89" spans="1:1" ht="14.25" customHeight="1">
      <c r="A89" s="17"/>
    </row>
    <row r="90" spans="1:1" ht="14.25" customHeight="1">
      <c r="A90" s="17"/>
    </row>
    <row r="91" spans="1:1" ht="14.25" customHeight="1">
      <c r="A91" s="17"/>
    </row>
    <row r="92" spans="1:1" ht="14.25" customHeight="1">
      <c r="A92" s="17"/>
    </row>
    <row r="93" spans="1:1" ht="14.25" customHeight="1">
      <c r="A93" s="17"/>
    </row>
    <row r="94" spans="1:1" ht="14.25" customHeight="1">
      <c r="A94" s="17"/>
    </row>
    <row r="95" spans="1:1" ht="14.25" customHeight="1">
      <c r="A95" s="17"/>
    </row>
    <row r="96" spans="1:1" ht="14.25" customHeight="1">
      <c r="A96" s="17"/>
    </row>
    <row r="97" spans="1:1" ht="14.25" customHeight="1">
      <c r="A97" s="17"/>
    </row>
    <row r="98" spans="1:1" ht="14.25" customHeight="1">
      <c r="A98" s="17"/>
    </row>
    <row r="99" spans="1:1" ht="14.25" customHeight="1">
      <c r="A99" s="17"/>
    </row>
    <row r="100" spans="1:1" ht="14.25" customHeight="1">
      <c r="A100" s="17"/>
    </row>
    <row r="101" spans="1:1" ht="14.25" customHeight="1">
      <c r="A101" s="17"/>
    </row>
    <row r="102" spans="1:1" ht="14.25" customHeight="1">
      <c r="A102" s="17"/>
    </row>
    <row r="103" spans="1:1" ht="14.25" customHeight="1">
      <c r="A103" s="17"/>
    </row>
    <row r="104" spans="1:1" ht="14.25" customHeight="1">
      <c r="A104" s="17"/>
    </row>
    <row r="105" spans="1:1" ht="14.25" customHeight="1">
      <c r="A105" s="17"/>
    </row>
    <row r="106" spans="1:1" ht="14.25" customHeight="1">
      <c r="A106" s="17"/>
    </row>
    <row r="107" spans="1:1" ht="14.25" customHeight="1">
      <c r="A107" s="17"/>
    </row>
    <row r="108" spans="1:1" ht="14.25" customHeight="1">
      <c r="A108" s="17"/>
    </row>
    <row r="109" spans="1:1" ht="14.25" customHeight="1">
      <c r="A109" s="17"/>
    </row>
    <row r="110" spans="1:1" ht="14.25" customHeight="1">
      <c r="A110" s="17"/>
    </row>
    <row r="111" spans="1:1" ht="14.25" customHeight="1">
      <c r="A111" s="17"/>
    </row>
    <row r="112" spans="1:1" ht="14.25" customHeight="1">
      <c r="A112" s="17"/>
    </row>
    <row r="113" spans="1:1" ht="14.25" customHeight="1">
      <c r="A113" s="17"/>
    </row>
    <row r="114" spans="1:1" ht="14.25" customHeight="1">
      <c r="A114" s="17"/>
    </row>
    <row r="115" spans="1:1" ht="14.25" customHeight="1">
      <c r="A115" s="17"/>
    </row>
    <row r="116" spans="1:1" ht="14.25" customHeight="1">
      <c r="A116" s="17"/>
    </row>
    <row r="117" spans="1:1" ht="14.25" customHeight="1">
      <c r="A117" s="17"/>
    </row>
    <row r="118" spans="1:1" ht="14.25" customHeight="1">
      <c r="A118" s="17"/>
    </row>
    <row r="119" spans="1:1" ht="14.25" customHeight="1">
      <c r="A119" s="17"/>
    </row>
    <row r="120" spans="1:1" ht="14.25" customHeight="1">
      <c r="A120" s="17"/>
    </row>
    <row r="121" spans="1:1" ht="14.25" customHeight="1">
      <c r="A121" s="17"/>
    </row>
    <row r="122" spans="1:1" ht="14.25" customHeight="1">
      <c r="A122" s="17"/>
    </row>
    <row r="123" spans="1:1" ht="14.25" customHeight="1">
      <c r="A123" s="17"/>
    </row>
    <row r="124" spans="1:1" ht="14.25" customHeight="1">
      <c r="A124" s="17"/>
    </row>
    <row r="125" spans="1:1" ht="14.25" customHeight="1">
      <c r="A125" s="17"/>
    </row>
    <row r="126" spans="1:1" ht="14.25" customHeight="1">
      <c r="A126" s="17"/>
    </row>
    <row r="127" spans="1:1" ht="14.25" customHeight="1">
      <c r="A127" s="17"/>
    </row>
    <row r="128" spans="1:1" ht="14.25" customHeight="1">
      <c r="A128" s="17"/>
    </row>
    <row r="129" spans="1:1" ht="14.25" customHeight="1">
      <c r="A129" s="17"/>
    </row>
    <row r="130" spans="1:1" ht="14.25" customHeight="1">
      <c r="A130" s="17"/>
    </row>
    <row r="131" spans="1:1" ht="14.25" customHeight="1">
      <c r="A131" s="17"/>
    </row>
    <row r="132" spans="1:1" ht="14.25" customHeight="1">
      <c r="A132" s="17"/>
    </row>
    <row r="133" spans="1:1" ht="14.25" customHeight="1">
      <c r="A133" s="17"/>
    </row>
    <row r="134" spans="1:1" ht="14.25" customHeight="1">
      <c r="A134" s="17"/>
    </row>
    <row r="135" spans="1:1" ht="14.25" customHeight="1">
      <c r="A135" s="17"/>
    </row>
    <row r="136" spans="1:1" ht="14.25" customHeight="1">
      <c r="A136" s="17"/>
    </row>
    <row r="137" spans="1:1" ht="14.25" customHeight="1">
      <c r="A137" s="17"/>
    </row>
    <row r="138" spans="1:1" ht="14.25" customHeight="1">
      <c r="A138" s="17"/>
    </row>
    <row r="139" spans="1:1" ht="14.25" customHeight="1">
      <c r="A139" s="17"/>
    </row>
    <row r="140" spans="1:1" ht="14.25" customHeight="1">
      <c r="A140" s="17"/>
    </row>
    <row r="141" spans="1:1" ht="14.25" customHeight="1">
      <c r="A141" s="17"/>
    </row>
    <row r="142" spans="1:1" ht="14.25" customHeight="1">
      <c r="A142" s="17"/>
    </row>
    <row r="143" spans="1:1" ht="14.25" customHeight="1">
      <c r="A143" s="17"/>
    </row>
    <row r="144" spans="1:1" ht="14.25" customHeight="1">
      <c r="A144" s="17"/>
    </row>
    <row r="145" spans="1:1" ht="14.25" customHeight="1">
      <c r="A145" s="17"/>
    </row>
    <row r="146" spans="1:1" ht="14.25" customHeight="1">
      <c r="A146" s="17"/>
    </row>
    <row r="147" spans="1:1" ht="14.25" customHeight="1">
      <c r="A147" s="17"/>
    </row>
    <row r="148" spans="1:1" ht="14.25" customHeight="1">
      <c r="A148" s="17"/>
    </row>
    <row r="149" spans="1:1" ht="14.25" customHeight="1">
      <c r="A149" s="17"/>
    </row>
    <row r="150" spans="1:1" ht="14.25" customHeight="1">
      <c r="A150" s="17"/>
    </row>
    <row r="151" spans="1:1" ht="14.25" customHeight="1">
      <c r="A151" s="17"/>
    </row>
    <row r="152" spans="1:1" ht="14.25" customHeight="1">
      <c r="A152" s="17"/>
    </row>
    <row r="153" spans="1:1" ht="14.25" customHeight="1">
      <c r="A153" s="17"/>
    </row>
    <row r="154" spans="1:1" ht="14.25" customHeight="1">
      <c r="A154" s="17"/>
    </row>
    <row r="155" spans="1:1" ht="14.25" customHeight="1">
      <c r="A155" s="17"/>
    </row>
    <row r="156" spans="1:1" ht="14.25" customHeight="1">
      <c r="A156" s="17"/>
    </row>
    <row r="157" spans="1:1" ht="14.25" customHeight="1">
      <c r="A157" s="17"/>
    </row>
    <row r="158" spans="1:1" ht="14.25" customHeight="1">
      <c r="A158" s="17"/>
    </row>
    <row r="159" spans="1:1" ht="14.25" customHeight="1">
      <c r="A159" s="17"/>
    </row>
    <row r="160" spans="1:1" ht="14.25" customHeight="1">
      <c r="A160" s="17"/>
    </row>
    <row r="161" spans="1:1" ht="14.25" customHeight="1">
      <c r="A161" s="17"/>
    </row>
    <row r="162" spans="1:1" ht="14.25" customHeight="1">
      <c r="A162" s="17"/>
    </row>
    <row r="163" spans="1:1" ht="14.25" customHeight="1">
      <c r="A163" s="17"/>
    </row>
    <row r="164" spans="1:1" ht="14.25" customHeight="1">
      <c r="A164" s="17"/>
    </row>
    <row r="165" spans="1:1" ht="14.25" customHeight="1">
      <c r="A165" s="17"/>
    </row>
    <row r="166" spans="1:1" ht="14.25" customHeight="1">
      <c r="A166" s="17"/>
    </row>
    <row r="167" spans="1:1" ht="14.25" customHeight="1">
      <c r="A167" s="17"/>
    </row>
    <row r="168" spans="1:1" ht="14.25" customHeight="1">
      <c r="A168" s="17"/>
    </row>
    <row r="169" spans="1:1" ht="14.25" customHeight="1">
      <c r="A169" s="17"/>
    </row>
    <row r="170" spans="1:1" ht="14.25" customHeight="1">
      <c r="A170" s="17"/>
    </row>
    <row r="171" spans="1:1" ht="14.25" customHeight="1">
      <c r="A171" s="17"/>
    </row>
    <row r="172" spans="1:1" ht="14.25" customHeight="1">
      <c r="A172" s="17"/>
    </row>
    <row r="173" spans="1:1" ht="14.25" customHeight="1">
      <c r="A173" s="17"/>
    </row>
    <row r="174" spans="1:1" ht="14.25" customHeight="1">
      <c r="A174" s="17"/>
    </row>
    <row r="175" spans="1:1" ht="14.25" customHeight="1">
      <c r="A175" s="17"/>
    </row>
    <row r="176" spans="1:1" ht="14.25" customHeight="1">
      <c r="A176" s="17"/>
    </row>
    <row r="177" spans="1:1" ht="14.25" customHeight="1">
      <c r="A177" s="17"/>
    </row>
    <row r="178" spans="1:1" ht="14.25" customHeight="1">
      <c r="A178" s="17"/>
    </row>
    <row r="179" spans="1:1" ht="14.25" customHeight="1">
      <c r="A179" s="17"/>
    </row>
    <row r="180" spans="1:1" ht="14.25" customHeight="1">
      <c r="A180" s="17"/>
    </row>
    <row r="181" spans="1:1" ht="14.25" customHeight="1">
      <c r="A181" s="17"/>
    </row>
    <row r="182" spans="1:1" ht="14.25" customHeight="1">
      <c r="A182" s="17"/>
    </row>
    <row r="183" spans="1:1" ht="14.25" customHeight="1">
      <c r="A183" s="17"/>
    </row>
    <row r="184" spans="1:1" ht="14.25" customHeight="1">
      <c r="A184" s="17"/>
    </row>
    <row r="185" spans="1:1" ht="14.25" customHeight="1">
      <c r="A185" s="17"/>
    </row>
    <row r="186" spans="1:1" ht="14.25" customHeight="1">
      <c r="A186" s="17"/>
    </row>
    <row r="187" spans="1:1" ht="14.25" customHeight="1">
      <c r="A187" s="17"/>
    </row>
    <row r="188" spans="1:1" ht="14.25" customHeight="1">
      <c r="A188" s="17"/>
    </row>
    <row r="189" spans="1:1" ht="14.25" customHeight="1">
      <c r="A189" s="17"/>
    </row>
    <row r="190" spans="1:1" ht="14.25" customHeight="1">
      <c r="A190" s="17"/>
    </row>
    <row r="191" spans="1:1" ht="14.25" customHeight="1">
      <c r="A191" s="17"/>
    </row>
    <row r="192" spans="1:1" ht="14.25" customHeight="1">
      <c r="A192" s="17"/>
    </row>
    <row r="193" spans="1:1" ht="14.25" customHeight="1">
      <c r="A193" s="17"/>
    </row>
    <row r="194" spans="1:1" ht="14.25" customHeight="1">
      <c r="A194" s="17"/>
    </row>
    <row r="195" spans="1:1" ht="14.25" customHeight="1">
      <c r="A195" s="17"/>
    </row>
    <row r="196" spans="1:1" ht="14.25" customHeight="1">
      <c r="A196" s="17"/>
    </row>
    <row r="197" spans="1:1" ht="14.25" customHeight="1">
      <c r="A197" s="17"/>
    </row>
    <row r="198" spans="1:1" ht="14.25" customHeight="1">
      <c r="A198" s="17"/>
    </row>
    <row r="199" spans="1:1" ht="14.25" customHeight="1">
      <c r="A199" s="17"/>
    </row>
    <row r="200" spans="1:1" ht="14.25" customHeight="1">
      <c r="A200" s="17"/>
    </row>
    <row r="201" spans="1:1" ht="14.25" customHeight="1">
      <c r="A201" s="17"/>
    </row>
    <row r="202" spans="1:1" ht="14.25" customHeight="1">
      <c r="A202" s="17"/>
    </row>
    <row r="203" spans="1:1" ht="14.25" customHeight="1">
      <c r="A203" s="17"/>
    </row>
    <row r="204" spans="1:1" ht="14.25" customHeight="1">
      <c r="A204" s="17"/>
    </row>
    <row r="205" spans="1:1" ht="14.25" customHeight="1">
      <c r="A205" s="17"/>
    </row>
    <row r="206" spans="1:1" ht="14.25" customHeight="1">
      <c r="A206" s="17"/>
    </row>
    <row r="207" spans="1:1" ht="14.25" customHeight="1">
      <c r="A207" s="17"/>
    </row>
    <row r="208" spans="1:1" ht="14.25" customHeight="1">
      <c r="A208" s="17"/>
    </row>
    <row r="209" spans="1:1" ht="14.25" customHeight="1">
      <c r="A209" s="17"/>
    </row>
    <row r="210" spans="1:1" ht="14.25" customHeight="1">
      <c r="A210" s="17"/>
    </row>
    <row r="211" spans="1:1" ht="14.25" customHeight="1">
      <c r="A211" s="17"/>
    </row>
    <row r="212" spans="1:1" ht="14.25" customHeight="1">
      <c r="A212" s="17"/>
    </row>
    <row r="213" spans="1:1" ht="14.25" customHeight="1">
      <c r="A213" s="17"/>
    </row>
    <row r="214" spans="1:1" ht="14.25" customHeight="1">
      <c r="A214" s="17"/>
    </row>
    <row r="215" spans="1:1" ht="14.25" customHeight="1">
      <c r="A215" s="17"/>
    </row>
    <row r="216" spans="1:1" ht="14.25" customHeight="1">
      <c r="A216" s="17"/>
    </row>
    <row r="217" spans="1:1" ht="14.25" customHeight="1">
      <c r="A217" s="17"/>
    </row>
    <row r="218" spans="1:1" ht="14.25" customHeight="1">
      <c r="A218" s="17"/>
    </row>
    <row r="219" spans="1:1" ht="14.25" customHeight="1">
      <c r="A219" s="17"/>
    </row>
    <row r="220" spans="1:1" ht="14.25" customHeight="1">
      <c r="A220" s="17"/>
    </row>
    <row r="221" spans="1:1" ht="14.25" customHeight="1">
      <c r="A221" s="17"/>
    </row>
    <row r="222" spans="1:1" ht="14.25" customHeight="1">
      <c r="A222" s="17"/>
    </row>
    <row r="223" spans="1:1" ht="14.25" customHeight="1">
      <c r="A223" s="17"/>
    </row>
    <row r="224" spans="1:1" ht="14.25" customHeight="1">
      <c r="A224" s="17"/>
    </row>
    <row r="225" spans="1:1" ht="14.25" customHeight="1">
      <c r="A225" s="17"/>
    </row>
    <row r="226" spans="1:1" ht="14.25" customHeight="1">
      <c r="A226" s="17"/>
    </row>
    <row r="227" spans="1:1" ht="14.25" customHeight="1">
      <c r="A227" s="17"/>
    </row>
    <row r="228" spans="1:1" ht="14.25" customHeight="1">
      <c r="A228" s="17"/>
    </row>
    <row r="229" spans="1:1" ht="14.25" customHeight="1">
      <c r="A229" s="17"/>
    </row>
    <row r="230" spans="1:1" ht="14.25" customHeight="1">
      <c r="A230" s="17"/>
    </row>
    <row r="231" spans="1:1" ht="14.25" customHeight="1">
      <c r="A231" s="17"/>
    </row>
    <row r="232" spans="1:1" ht="14.25" customHeight="1">
      <c r="A232" s="17"/>
    </row>
    <row r="233" spans="1:1" ht="14.25" customHeight="1">
      <c r="A233" s="17"/>
    </row>
    <row r="234" spans="1:1" ht="14.25" customHeight="1">
      <c r="A234" s="17"/>
    </row>
    <row r="235" spans="1:1" ht="14.25" customHeight="1">
      <c r="A235" s="17"/>
    </row>
    <row r="236" spans="1:1" ht="14.25" customHeight="1">
      <c r="A236" s="17"/>
    </row>
    <row r="237" spans="1:1" ht="14.25" customHeight="1">
      <c r="A237" s="17"/>
    </row>
    <row r="238" spans="1:1" ht="14.25" customHeight="1">
      <c r="A238" s="17"/>
    </row>
    <row r="239" spans="1:1" ht="14.25" customHeight="1">
      <c r="A239" s="17"/>
    </row>
    <row r="240" spans="1:1" ht="14.25" customHeight="1">
      <c r="A240" s="17"/>
    </row>
    <row r="241" spans="1:1" ht="14.25" customHeight="1">
      <c r="A241" s="17"/>
    </row>
    <row r="242" spans="1:1" ht="14.25" customHeight="1">
      <c r="A242" s="17"/>
    </row>
    <row r="243" spans="1:1" ht="14.25" customHeight="1">
      <c r="A243" s="17"/>
    </row>
    <row r="244" spans="1:1" ht="14.25" customHeight="1">
      <c r="A244" s="17"/>
    </row>
    <row r="245" spans="1:1" ht="14.25" customHeight="1">
      <c r="A245" s="17"/>
    </row>
    <row r="246" spans="1:1" ht="14.25" customHeight="1">
      <c r="A246" s="17"/>
    </row>
    <row r="247" spans="1:1" ht="14.25" customHeight="1">
      <c r="A247" s="17"/>
    </row>
    <row r="248" spans="1:1" ht="14.25" customHeight="1">
      <c r="A248" s="17"/>
    </row>
    <row r="249" spans="1:1" ht="14.25" customHeight="1">
      <c r="A249" s="17"/>
    </row>
    <row r="250" spans="1:1" ht="14.25" customHeight="1">
      <c r="A250" s="17"/>
    </row>
    <row r="251" spans="1:1" ht="14.25" customHeight="1">
      <c r="A251" s="17"/>
    </row>
    <row r="252" spans="1:1" ht="14.25" customHeight="1">
      <c r="A252" s="17"/>
    </row>
    <row r="253" spans="1:1" ht="14.25" customHeight="1">
      <c r="A253" s="17"/>
    </row>
    <row r="254" spans="1:1" ht="14.25" customHeight="1">
      <c r="A254" s="17"/>
    </row>
    <row r="255" spans="1:1" ht="14.25" customHeight="1">
      <c r="A255" s="17"/>
    </row>
    <row r="256" spans="1:1" ht="14.25" customHeight="1">
      <c r="A256" s="17"/>
    </row>
    <row r="257" spans="1:1" ht="14.25" customHeight="1">
      <c r="A257" s="17"/>
    </row>
    <row r="258" spans="1:1" ht="14.25" customHeight="1">
      <c r="A258" s="17"/>
    </row>
    <row r="259" spans="1:1" ht="14.25" customHeight="1">
      <c r="A259" s="17"/>
    </row>
    <row r="260" spans="1:1" ht="14.25" customHeight="1">
      <c r="A260" s="17"/>
    </row>
    <row r="261" spans="1:1" ht="14.25" customHeight="1">
      <c r="A261" s="17"/>
    </row>
    <row r="262" spans="1:1" ht="14.25" customHeight="1">
      <c r="A262" s="17"/>
    </row>
    <row r="263" spans="1:1" ht="14.25" customHeight="1">
      <c r="A263" s="17"/>
    </row>
    <row r="264" spans="1:1" ht="14.25" customHeight="1">
      <c r="A264" s="17"/>
    </row>
    <row r="265" spans="1:1" ht="14.25" customHeight="1">
      <c r="A265" s="17"/>
    </row>
    <row r="266" spans="1:1" ht="14.25" customHeight="1">
      <c r="A266" s="17"/>
    </row>
    <row r="267" spans="1:1" ht="14.25" customHeight="1">
      <c r="A267" s="17"/>
    </row>
    <row r="268" spans="1:1" ht="14.25" customHeight="1">
      <c r="A268" s="17"/>
    </row>
    <row r="269" spans="1:1" ht="14.25" customHeight="1">
      <c r="A269" s="17"/>
    </row>
    <row r="270" spans="1:1" ht="14.25" customHeight="1">
      <c r="A270" s="17"/>
    </row>
    <row r="271" spans="1:1" ht="14.25" customHeight="1">
      <c r="A271" s="17"/>
    </row>
    <row r="272" spans="1:1" ht="14.25" customHeight="1">
      <c r="A272" s="17"/>
    </row>
    <row r="273" spans="1:1" ht="14.25" customHeight="1">
      <c r="A273" s="17"/>
    </row>
    <row r="274" spans="1:1" ht="14.25" customHeight="1">
      <c r="A274" s="17"/>
    </row>
    <row r="275" spans="1:1" ht="14.25" customHeight="1">
      <c r="A275" s="17"/>
    </row>
    <row r="276" spans="1:1" ht="14.25" customHeight="1">
      <c r="A276" s="17"/>
    </row>
    <row r="277" spans="1:1" ht="14.25" customHeight="1">
      <c r="A277" s="17"/>
    </row>
    <row r="278" spans="1:1" ht="14.25" customHeight="1">
      <c r="A278" s="17"/>
    </row>
    <row r="279" spans="1:1" ht="14.25" customHeight="1">
      <c r="A279" s="17"/>
    </row>
    <row r="280" spans="1:1" ht="14.25" customHeight="1">
      <c r="A280" s="17"/>
    </row>
    <row r="281" spans="1:1" ht="14.25" customHeight="1">
      <c r="A281" s="17"/>
    </row>
    <row r="282" spans="1:1" ht="14.25" customHeight="1">
      <c r="A282" s="17"/>
    </row>
    <row r="283" spans="1:1" ht="14.25" customHeight="1">
      <c r="A283" s="17"/>
    </row>
    <row r="284" spans="1:1" ht="14.25" customHeight="1">
      <c r="A284" s="17"/>
    </row>
    <row r="285" spans="1:1" ht="14.25" customHeight="1">
      <c r="A285" s="17"/>
    </row>
    <row r="286" spans="1:1" ht="14.25" customHeight="1">
      <c r="A286" s="17"/>
    </row>
    <row r="287" spans="1:1" ht="14.25" customHeight="1">
      <c r="A287" s="17"/>
    </row>
    <row r="288" spans="1:1" ht="14.25" customHeight="1">
      <c r="A288" s="17"/>
    </row>
    <row r="289" spans="1:1" ht="14.25" customHeight="1">
      <c r="A289" s="17"/>
    </row>
    <row r="290" spans="1:1" ht="14.25" customHeight="1">
      <c r="A290" s="17"/>
    </row>
    <row r="291" spans="1:1" ht="14.25" customHeight="1">
      <c r="A291" s="17"/>
    </row>
    <row r="292" spans="1:1" ht="14.25" customHeight="1">
      <c r="A292" s="17"/>
    </row>
    <row r="293" spans="1:1" ht="14.25" customHeight="1">
      <c r="A293" s="17"/>
    </row>
    <row r="294" spans="1:1" ht="14.25" customHeight="1">
      <c r="A294" s="17"/>
    </row>
    <row r="295" spans="1:1" ht="14.25" customHeight="1">
      <c r="A295" s="17"/>
    </row>
    <row r="296" spans="1:1" ht="14.25" customHeight="1">
      <c r="A296" s="17"/>
    </row>
    <row r="297" spans="1:1" ht="14.25" customHeight="1">
      <c r="A297" s="17"/>
    </row>
    <row r="298" spans="1:1" ht="14.25" customHeight="1">
      <c r="A298" s="17"/>
    </row>
    <row r="299" spans="1:1" ht="14.25" customHeight="1">
      <c r="A299" s="17"/>
    </row>
    <row r="300" spans="1:1" ht="14.25" customHeight="1">
      <c r="A300" s="17"/>
    </row>
    <row r="301" spans="1:1" ht="14.25" customHeight="1">
      <c r="A301" s="17"/>
    </row>
    <row r="302" spans="1:1" ht="14.25" customHeight="1">
      <c r="A302" s="17"/>
    </row>
    <row r="303" spans="1:1" ht="14.25" customHeight="1">
      <c r="A303" s="17"/>
    </row>
    <row r="304" spans="1:1" ht="14.25" customHeight="1">
      <c r="A304" s="17"/>
    </row>
    <row r="305" spans="1:1" ht="14.25" customHeight="1">
      <c r="A305" s="17"/>
    </row>
    <row r="306" spans="1:1" ht="14.25" customHeight="1">
      <c r="A306" s="17"/>
    </row>
    <row r="307" spans="1:1" ht="14.25" customHeight="1">
      <c r="A307" s="17"/>
    </row>
    <row r="308" spans="1:1" ht="14.25" customHeight="1">
      <c r="A308" s="17"/>
    </row>
    <row r="309" spans="1:1" ht="14.25" customHeight="1">
      <c r="A309" s="17"/>
    </row>
    <row r="310" spans="1:1" ht="14.25" customHeight="1">
      <c r="A310" s="17"/>
    </row>
    <row r="311" spans="1:1" ht="14.25" customHeight="1">
      <c r="A311" s="17"/>
    </row>
    <row r="312" spans="1:1" ht="14.25" customHeight="1">
      <c r="A312" s="17"/>
    </row>
    <row r="313" spans="1:1" ht="14.25" customHeight="1">
      <c r="A313" s="17"/>
    </row>
    <row r="314" spans="1:1" ht="14.25" customHeight="1">
      <c r="A314" s="17"/>
    </row>
    <row r="315" spans="1:1" ht="14.25" customHeight="1">
      <c r="A315" s="17"/>
    </row>
    <row r="316" spans="1:1" ht="14.25" customHeight="1">
      <c r="A316" s="17"/>
    </row>
    <row r="317" spans="1:1" ht="14.25" customHeight="1">
      <c r="A317" s="17"/>
    </row>
    <row r="318" spans="1:1" ht="14.25" customHeight="1">
      <c r="A318" s="17"/>
    </row>
    <row r="319" spans="1:1" ht="14.25" customHeight="1">
      <c r="A319" s="17"/>
    </row>
    <row r="320" spans="1:1" ht="14.25" customHeight="1">
      <c r="A320" s="17"/>
    </row>
    <row r="321" spans="1:1" ht="14.25" customHeight="1">
      <c r="A321" s="17"/>
    </row>
    <row r="322" spans="1:1" ht="14.25" customHeight="1">
      <c r="A322" s="17"/>
    </row>
    <row r="323" spans="1:1" ht="14.25" customHeight="1">
      <c r="A323" s="17"/>
    </row>
    <row r="324" spans="1:1" ht="14.25" customHeight="1">
      <c r="A324" s="17"/>
    </row>
    <row r="325" spans="1:1" ht="14.25" customHeight="1">
      <c r="A325" s="17"/>
    </row>
    <row r="326" spans="1:1" ht="14.25" customHeight="1">
      <c r="A326" s="17"/>
    </row>
    <row r="327" spans="1:1" ht="14.25" customHeight="1">
      <c r="A327" s="17"/>
    </row>
    <row r="328" spans="1:1" ht="14.25" customHeight="1">
      <c r="A328" s="17"/>
    </row>
    <row r="329" spans="1:1" ht="14.25" customHeight="1">
      <c r="A329" s="17"/>
    </row>
    <row r="330" spans="1:1" ht="14.25" customHeight="1">
      <c r="A330" s="17"/>
    </row>
    <row r="331" spans="1:1" ht="14.25" customHeight="1">
      <c r="A331" s="17"/>
    </row>
    <row r="332" spans="1:1" ht="14.25" customHeight="1">
      <c r="A332" s="17"/>
    </row>
    <row r="333" spans="1:1" ht="14.25" customHeight="1">
      <c r="A333" s="17"/>
    </row>
    <row r="334" spans="1:1" ht="14.25" customHeight="1">
      <c r="A334" s="17"/>
    </row>
    <row r="335" spans="1:1" ht="14.25" customHeight="1">
      <c r="A335" s="17"/>
    </row>
    <row r="336" spans="1:1" ht="14.25" customHeight="1">
      <c r="A336" s="17"/>
    </row>
    <row r="337" spans="1:1" ht="14.25" customHeight="1">
      <c r="A337" s="17"/>
    </row>
    <row r="338" spans="1:1" ht="14.25" customHeight="1">
      <c r="A338" s="17"/>
    </row>
    <row r="339" spans="1:1" ht="14.25" customHeight="1">
      <c r="A339" s="17"/>
    </row>
    <row r="340" spans="1:1" ht="14.25" customHeight="1">
      <c r="A340" s="17"/>
    </row>
    <row r="341" spans="1:1" ht="14.25" customHeight="1">
      <c r="A341" s="17"/>
    </row>
    <row r="342" spans="1:1" ht="14.25" customHeight="1">
      <c r="A342" s="17"/>
    </row>
    <row r="343" spans="1:1" ht="14.25" customHeight="1">
      <c r="A343" s="17"/>
    </row>
    <row r="344" spans="1:1" ht="14.25" customHeight="1">
      <c r="A344" s="17"/>
    </row>
    <row r="345" spans="1:1" ht="14.25" customHeight="1">
      <c r="A345" s="17"/>
    </row>
    <row r="346" spans="1:1" ht="14.25" customHeight="1">
      <c r="A346" s="17"/>
    </row>
    <row r="347" spans="1:1" ht="14.25" customHeight="1">
      <c r="A347" s="17"/>
    </row>
    <row r="348" spans="1:1" ht="14.25" customHeight="1">
      <c r="A348" s="17"/>
    </row>
    <row r="349" spans="1:1" ht="14.25" customHeight="1">
      <c r="A349" s="17"/>
    </row>
    <row r="350" spans="1:1" ht="14.25" customHeight="1">
      <c r="A350" s="17"/>
    </row>
    <row r="351" spans="1:1" ht="14.25" customHeight="1">
      <c r="A351" s="17"/>
    </row>
    <row r="352" spans="1:1" ht="14.25" customHeight="1">
      <c r="A352" s="17"/>
    </row>
    <row r="353" spans="1:1" ht="14.25" customHeight="1">
      <c r="A353" s="17"/>
    </row>
    <row r="354" spans="1:1" ht="14.25" customHeight="1">
      <c r="A354" s="17"/>
    </row>
    <row r="355" spans="1:1" ht="14.25" customHeight="1">
      <c r="A355" s="17"/>
    </row>
    <row r="356" spans="1:1" ht="14.25" customHeight="1">
      <c r="A356" s="17"/>
    </row>
    <row r="357" spans="1:1" ht="14.25" customHeight="1">
      <c r="A357" s="17"/>
    </row>
    <row r="358" spans="1:1" ht="14.25" customHeight="1">
      <c r="A358" s="17"/>
    </row>
    <row r="359" spans="1:1" ht="14.25" customHeight="1">
      <c r="A359" s="17"/>
    </row>
    <row r="360" spans="1:1" ht="14.25" customHeight="1">
      <c r="A360" s="17"/>
    </row>
    <row r="361" spans="1:1" ht="14.25" customHeight="1">
      <c r="A361" s="17"/>
    </row>
    <row r="362" spans="1:1" ht="14.25" customHeight="1">
      <c r="A362" s="17"/>
    </row>
    <row r="363" spans="1:1" ht="14.25" customHeight="1">
      <c r="A363" s="17"/>
    </row>
    <row r="364" spans="1:1" ht="14.25" customHeight="1">
      <c r="A364" s="17"/>
    </row>
    <row r="365" spans="1:1" ht="14.25" customHeight="1">
      <c r="A365" s="17"/>
    </row>
    <row r="366" spans="1:1" ht="14.25" customHeight="1">
      <c r="A366" s="17"/>
    </row>
    <row r="367" spans="1:1" ht="14.25" customHeight="1">
      <c r="A367" s="17"/>
    </row>
    <row r="368" spans="1:1" ht="14.25" customHeight="1">
      <c r="A368" s="17"/>
    </row>
    <row r="369" spans="1:1" ht="14.25" customHeight="1">
      <c r="A369" s="17"/>
    </row>
    <row r="370" spans="1:1" ht="14.25" customHeight="1">
      <c r="A370" s="17"/>
    </row>
    <row r="371" spans="1:1" ht="14.25" customHeight="1">
      <c r="A371" s="17"/>
    </row>
    <row r="372" spans="1:1" ht="14.25" customHeight="1">
      <c r="A372" s="17"/>
    </row>
    <row r="373" spans="1:1" ht="14.25" customHeight="1">
      <c r="A373" s="17"/>
    </row>
    <row r="374" spans="1:1" ht="14.25" customHeight="1">
      <c r="A374" s="17"/>
    </row>
    <row r="375" spans="1:1" ht="14.25" customHeight="1">
      <c r="A375" s="17"/>
    </row>
    <row r="376" spans="1:1" ht="14.25" customHeight="1">
      <c r="A376" s="17"/>
    </row>
    <row r="377" spans="1:1" ht="14.25" customHeight="1">
      <c r="A377" s="17"/>
    </row>
    <row r="378" spans="1:1" ht="14.25" customHeight="1">
      <c r="A378" s="17"/>
    </row>
    <row r="379" spans="1:1" ht="14.25" customHeight="1">
      <c r="A379" s="17"/>
    </row>
    <row r="380" spans="1:1" ht="14.25" customHeight="1">
      <c r="A380" s="17"/>
    </row>
    <row r="381" spans="1:1" ht="14.25" customHeight="1">
      <c r="A381" s="17"/>
    </row>
    <row r="382" spans="1:1" ht="14.25" customHeight="1">
      <c r="A382" s="17"/>
    </row>
    <row r="383" spans="1:1" ht="14.25" customHeight="1">
      <c r="A383" s="17"/>
    </row>
    <row r="384" spans="1:1" ht="14.25" customHeight="1">
      <c r="A384" s="17"/>
    </row>
    <row r="385" spans="1:1" ht="14.25" customHeight="1">
      <c r="A385" s="17"/>
    </row>
    <row r="386" spans="1:1" ht="14.25" customHeight="1">
      <c r="A386" s="17"/>
    </row>
    <row r="387" spans="1:1" ht="14.25" customHeight="1">
      <c r="A387" s="17"/>
    </row>
    <row r="388" spans="1:1" ht="14.25" customHeight="1">
      <c r="A388" s="17"/>
    </row>
    <row r="389" spans="1:1" ht="14.25" customHeight="1">
      <c r="A389" s="17"/>
    </row>
    <row r="390" spans="1:1" ht="14.25" customHeight="1">
      <c r="A390" s="17"/>
    </row>
    <row r="391" spans="1:1" ht="14.25" customHeight="1">
      <c r="A391" s="17"/>
    </row>
    <row r="392" spans="1:1" ht="14.25" customHeight="1">
      <c r="A392" s="17"/>
    </row>
    <row r="393" spans="1:1" ht="14.25" customHeight="1">
      <c r="A393" s="17"/>
    </row>
    <row r="394" spans="1:1" ht="14.25" customHeight="1">
      <c r="A394" s="17"/>
    </row>
    <row r="395" spans="1:1" ht="14.25" customHeight="1">
      <c r="A395" s="17"/>
    </row>
    <row r="396" spans="1:1" ht="14.25" customHeight="1">
      <c r="A396" s="17"/>
    </row>
    <row r="397" spans="1:1" ht="14.25" customHeight="1">
      <c r="A397" s="17"/>
    </row>
    <row r="398" spans="1:1" ht="14.25" customHeight="1">
      <c r="A398" s="17"/>
    </row>
    <row r="399" spans="1:1" ht="14.25" customHeight="1">
      <c r="A399" s="17"/>
    </row>
    <row r="400" spans="1:1" ht="14.25" customHeight="1">
      <c r="A400" s="17"/>
    </row>
    <row r="401" spans="1:1" ht="14.25" customHeight="1">
      <c r="A401" s="17"/>
    </row>
    <row r="402" spans="1:1" ht="14.25" customHeight="1">
      <c r="A402" s="17"/>
    </row>
    <row r="403" spans="1:1" ht="14.25" customHeight="1">
      <c r="A403" s="17"/>
    </row>
    <row r="404" spans="1:1" ht="14.25" customHeight="1">
      <c r="A404" s="17"/>
    </row>
    <row r="405" spans="1:1" ht="14.25" customHeight="1">
      <c r="A405" s="17"/>
    </row>
    <row r="406" spans="1:1" ht="14.25" customHeight="1">
      <c r="A406" s="17"/>
    </row>
    <row r="407" spans="1:1" ht="14.25" customHeight="1">
      <c r="A407" s="17"/>
    </row>
    <row r="408" spans="1:1" ht="14.25" customHeight="1">
      <c r="A408" s="17"/>
    </row>
    <row r="409" spans="1:1" ht="14.25" customHeight="1">
      <c r="A409" s="17"/>
    </row>
    <row r="410" spans="1:1" ht="14.25" customHeight="1">
      <c r="A410" s="17"/>
    </row>
    <row r="411" spans="1:1" ht="14.25" customHeight="1">
      <c r="A411" s="17"/>
    </row>
    <row r="412" spans="1:1" ht="14.25" customHeight="1">
      <c r="A412" s="17"/>
    </row>
    <row r="413" spans="1:1" ht="14.25" customHeight="1">
      <c r="A413" s="17"/>
    </row>
    <row r="414" spans="1:1" ht="14.25" customHeight="1">
      <c r="A414" s="17"/>
    </row>
    <row r="415" spans="1:1" ht="14.25" customHeight="1">
      <c r="A415" s="17"/>
    </row>
    <row r="416" spans="1:1" ht="14.25" customHeight="1">
      <c r="A416" s="17"/>
    </row>
    <row r="417" spans="1:1" ht="14.25" customHeight="1">
      <c r="A417" s="17"/>
    </row>
    <row r="418" spans="1:1" ht="14.25" customHeight="1">
      <c r="A418" s="17"/>
    </row>
    <row r="419" spans="1:1" ht="14.25" customHeight="1">
      <c r="A419" s="17"/>
    </row>
    <row r="420" spans="1:1" ht="14.25" customHeight="1">
      <c r="A420" s="17"/>
    </row>
    <row r="421" spans="1:1" ht="14.25" customHeight="1">
      <c r="A421" s="17"/>
    </row>
    <row r="422" spans="1:1" ht="14.25" customHeight="1">
      <c r="A422" s="17"/>
    </row>
    <row r="423" spans="1:1" ht="14.25" customHeight="1">
      <c r="A423" s="17"/>
    </row>
    <row r="424" spans="1:1" ht="14.25" customHeight="1">
      <c r="A424" s="17"/>
    </row>
    <row r="425" spans="1:1" ht="14.25" customHeight="1">
      <c r="A425" s="17"/>
    </row>
    <row r="426" spans="1:1" ht="14.25" customHeight="1">
      <c r="A426" s="17"/>
    </row>
    <row r="427" spans="1:1" ht="14.25" customHeight="1">
      <c r="A427" s="17"/>
    </row>
    <row r="428" spans="1:1" ht="14.25" customHeight="1">
      <c r="A428" s="17"/>
    </row>
    <row r="429" spans="1:1" ht="14.25" customHeight="1">
      <c r="A429" s="17"/>
    </row>
    <row r="430" spans="1:1" ht="14.25" customHeight="1">
      <c r="A430" s="17"/>
    </row>
    <row r="431" spans="1:1" ht="14.25" customHeight="1">
      <c r="A431" s="17"/>
    </row>
    <row r="432" spans="1:1" ht="14.25" customHeight="1">
      <c r="A432" s="17"/>
    </row>
    <row r="433" spans="1:1" ht="14.25" customHeight="1">
      <c r="A433" s="17"/>
    </row>
    <row r="434" spans="1:1" ht="14.25" customHeight="1">
      <c r="A434" s="17"/>
    </row>
    <row r="435" spans="1:1" ht="14.25" customHeight="1">
      <c r="A435" s="17"/>
    </row>
    <row r="436" spans="1:1" ht="14.25" customHeight="1">
      <c r="A436" s="17"/>
    </row>
    <row r="437" spans="1:1" ht="14.25" customHeight="1">
      <c r="A437" s="17"/>
    </row>
    <row r="438" spans="1:1" ht="14.25" customHeight="1">
      <c r="A438" s="17"/>
    </row>
    <row r="439" spans="1:1" ht="14.25" customHeight="1">
      <c r="A439" s="17"/>
    </row>
    <row r="440" spans="1:1" ht="14.25" customHeight="1">
      <c r="A440" s="17"/>
    </row>
    <row r="441" spans="1:1" ht="14.25" customHeight="1">
      <c r="A441" s="17"/>
    </row>
    <row r="442" spans="1:1" ht="14.25" customHeight="1">
      <c r="A442" s="17"/>
    </row>
    <row r="443" spans="1:1" ht="14.25" customHeight="1">
      <c r="A443" s="17"/>
    </row>
    <row r="444" spans="1:1" ht="14.25" customHeight="1">
      <c r="A444" s="17"/>
    </row>
    <row r="445" spans="1:1" ht="14.25" customHeight="1">
      <c r="A445" s="17"/>
    </row>
    <row r="446" spans="1:1" ht="14.25" customHeight="1">
      <c r="A446" s="17"/>
    </row>
    <row r="447" spans="1:1" ht="14.25" customHeight="1">
      <c r="A447" s="17"/>
    </row>
    <row r="448" spans="1:1" ht="14.25" customHeight="1">
      <c r="A448" s="17"/>
    </row>
    <row r="449" spans="1:1" ht="14.25" customHeight="1">
      <c r="A449" s="17"/>
    </row>
    <row r="450" spans="1:1" ht="14.25" customHeight="1">
      <c r="A450" s="17"/>
    </row>
    <row r="451" spans="1:1" ht="14.25" customHeight="1">
      <c r="A451" s="17"/>
    </row>
    <row r="452" spans="1:1" ht="14.25" customHeight="1">
      <c r="A452" s="17"/>
    </row>
    <row r="453" spans="1:1" ht="14.25" customHeight="1">
      <c r="A453" s="17"/>
    </row>
    <row r="454" spans="1:1" ht="14.25" customHeight="1">
      <c r="A454" s="17"/>
    </row>
    <row r="455" spans="1:1" ht="14.25" customHeight="1">
      <c r="A455" s="17"/>
    </row>
    <row r="456" spans="1:1" ht="14.25" customHeight="1">
      <c r="A456" s="17"/>
    </row>
    <row r="457" spans="1:1" ht="14.25" customHeight="1">
      <c r="A457" s="17"/>
    </row>
    <row r="458" spans="1:1" ht="14.25" customHeight="1">
      <c r="A458" s="17"/>
    </row>
    <row r="459" spans="1:1" ht="14.25" customHeight="1">
      <c r="A459" s="17"/>
    </row>
    <row r="460" spans="1:1" ht="14.25" customHeight="1">
      <c r="A460" s="17"/>
    </row>
    <row r="461" spans="1:1" ht="14.25" customHeight="1">
      <c r="A461" s="17"/>
    </row>
    <row r="462" spans="1:1" ht="14.25" customHeight="1">
      <c r="A462" s="17"/>
    </row>
    <row r="463" spans="1:1" ht="14.25" customHeight="1">
      <c r="A463" s="17"/>
    </row>
    <row r="464" spans="1:1" ht="14.25" customHeight="1">
      <c r="A464" s="17"/>
    </row>
    <row r="465" spans="1:1" ht="14.25" customHeight="1">
      <c r="A465" s="17"/>
    </row>
    <row r="466" spans="1:1" ht="14.25" customHeight="1">
      <c r="A466" s="17"/>
    </row>
    <row r="467" spans="1:1" ht="14.25" customHeight="1">
      <c r="A467" s="17"/>
    </row>
    <row r="468" spans="1:1" ht="14.25" customHeight="1">
      <c r="A468" s="17"/>
    </row>
    <row r="469" spans="1:1" ht="14.25" customHeight="1">
      <c r="A469" s="17"/>
    </row>
    <row r="470" spans="1:1" ht="14.25" customHeight="1">
      <c r="A470" s="17"/>
    </row>
    <row r="471" spans="1:1" ht="14.25" customHeight="1">
      <c r="A471" s="17"/>
    </row>
    <row r="472" spans="1:1" ht="14.25" customHeight="1">
      <c r="A472" s="17"/>
    </row>
    <row r="473" spans="1:1" ht="14.25" customHeight="1">
      <c r="A473" s="17"/>
    </row>
    <row r="474" spans="1:1" ht="14.25" customHeight="1">
      <c r="A474" s="17"/>
    </row>
    <row r="475" spans="1:1" ht="14.25" customHeight="1">
      <c r="A475" s="17"/>
    </row>
    <row r="476" spans="1:1" ht="14.25" customHeight="1">
      <c r="A476" s="17"/>
    </row>
    <row r="477" spans="1:1" ht="14.25" customHeight="1">
      <c r="A477" s="17"/>
    </row>
    <row r="478" spans="1:1" ht="14.25" customHeight="1">
      <c r="A478" s="17"/>
    </row>
    <row r="479" spans="1:1" ht="14.25" customHeight="1">
      <c r="A479" s="17"/>
    </row>
    <row r="480" spans="1:1" ht="14.25" customHeight="1">
      <c r="A480" s="17"/>
    </row>
    <row r="481" spans="1:1" ht="14.25" customHeight="1">
      <c r="A481" s="17"/>
    </row>
    <row r="482" spans="1:1" ht="14.25" customHeight="1">
      <c r="A482" s="17"/>
    </row>
    <row r="483" spans="1:1" ht="14.25" customHeight="1">
      <c r="A483" s="17"/>
    </row>
    <row r="484" spans="1:1" ht="14.25" customHeight="1">
      <c r="A484" s="17"/>
    </row>
    <row r="485" spans="1:1" ht="14.25" customHeight="1">
      <c r="A485" s="17"/>
    </row>
    <row r="486" spans="1:1" ht="14.25" customHeight="1">
      <c r="A486" s="17"/>
    </row>
    <row r="487" spans="1:1" ht="14.25" customHeight="1">
      <c r="A487" s="17"/>
    </row>
    <row r="488" spans="1:1" ht="14.25" customHeight="1">
      <c r="A488" s="17"/>
    </row>
    <row r="489" spans="1:1" ht="14.25" customHeight="1">
      <c r="A489" s="17"/>
    </row>
    <row r="490" spans="1:1" ht="14.25" customHeight="1">
      <c r="A490" s="17"/>
    </row>
    <row r="491" spans="1:1" ht="14.25" customHeight="1">
      <c r="A491" s="17"/>
    </row>
    <row r="492" spans="1:1" ht="14.25" customHeight="1">
      <c r="A492" s="17"/>
    </row>
    <row r="493" spans="1:1" ht="14.25" customHeight="1">
      <c r="A493" s="17"/>
    </row>
    <row r="494" spans="1:1" ht="14.25" customHeight="1">
      <c r="A494" s="17"/>
    </row>
    <row r="495" spans="1:1" ht="14.25" customHeight="1">
      <c r="A495" s="17"/>
    </row>
    <row r="496" spans="1:1" ht="14.25" customHeight="1">
      <c r="A496" s="17"/>
    </row>
    <row r="497" spans="1:1" ht="14.25" customHeight="1">
      <c r="A497" s="17"/>
    </row>
    <row r="498" spans="1:1" ht="14.25" customHeight="1">
      <c r="A498" s="17"/>
    </row>
    <row r="499" spans="1:1" ht="14.25" customHeight="1">
      <c r="A499" s="17"/>
    </row>
    <row r="500" spans="1:1" ht="14.25" customHeight="1">
      <c r="A500" s="17"/>
    </row>
    <row r="501" spans="1:1" ht="14.25" customHeight="1">
      <c r="A501" s="17"/>
    </row>
    <row r="502" spans="1:1" ht="14.25" customHeight="1">
      <c r="A502" s="17"/>
    </row>
    <row r="503" spans="1:1" ht="14.25" customHeight="1">
      <c r="A503" s="17"/>
    </row>
    <row r="504" spans="1:1" ht="14.25" customHeight="1">
      <c r="A504" s="17"/>
    </row>
    <row r="505" spans="1:1" ht="14.25" customHeight="1">
      <c r="A505" s="17"/>
    </row>
    <row r="506" spans="1:1" ht="14.25" customHeight="1">
      <c r="A506" s="17"/>
    </row>
    <row r="507" spans="1:1" ht="14.25" customHeight="1">
      <c r="A507" s="17"/>
    </row>
    <row r="508" spans="1:1" ht="14.25" customHeight="1">
      <c r="A508" s="17"/>
    </row>
    <row r="509" spans="1:1" ht="14.25" customHeight="1">
      <c r="A509" s="17"/>
    </row>
    <row r="510" spans="1:1" ht="14.25" customHeight="1">
      <c r="A510" s="17"/>
    </row>
    <row r="511" spans="1:1" ht="14.25" customHeight="1">
      <c r="A511" s="17"/>
    </row>
    <row r="512" spans="1:1" ht="14.25" customHeight="1">
      <c r="A512" s="17"/>
    </row>
    <row r="513" spans="1:1" ht="14.25" customHeight="1">
      <c r="A513" s="17"/>
    </row>
    <row r="514" spans="1:1" ht="14.25" customHeight="1">
      <c r="A514" s="17"/>
    </row>
    <row r="515" spans="1:1" ht="14.25" customHeight="1">
      <c r="A515" s="17"/>
    </row>
    <row r="516" spans="1:1" ht="14.25" customHeight="1">
      <c r="A516" s="17"/>
    </row>
    <row r="517" spans="1:1" ht="14.25" customHeight="1">
      <c r="A517" s="17"/>
    </row>
    <row r="518" spans="1:1" ht="14.25" customHeight="1">
      <c r="A518" s="17"/>
    </row>
    <row r="519" spans="1:1" ht="14.25" customHeight="1">
      <c r="A519" s="17"/>
    </row>
    <row r="520" spans="1:1" ht="14.25" customHeight="1">
      <c r="A520" s="17"/>
    </row>
    <row r="521" spans="1:1" ht="14.25" customHeight="1">
      <c r="A521" s="17"/>
    </row>
    <row r="522" spans="1:1" ht="14.25" customHeight="1">
      <c r="A522" s="17"/>
    </row>
    <row r="523" spans="1:1" ht="14.25" customHeight="1">
      <c r="A523" s="17"/>
    </row>
    <row r="524" spans="1:1" ht="14.25" customHeight="1">
      <c r="A524" s="17"/>
    </row>
    <row r="525" spans="1:1" ht="14.25" customHeight="1">
      <c r="A525" s="17"/>
    </row>
    <row r="526" spans="1:1" ht="14.25" customHeight="1">
      <c r="A526" s="17"/>
    </row>
    <row r="527" spans="1:1" ht="14.25" customHeight="1">
      <c r="A527" s="17"/>
    </row>
    <row r="528" spans="1:1" ht="14.25" customHeight="1">
      <c r="A528" s="17"/>
    </row>
    <row r="529" spans="1:1" ht="14.25" customHeight="1">
      <c r="A529" s="17"/>
    </row>
    <row r="530" spans="1:1" ht="14.25" customHeight="1">
      <c r="A530" s="17"/>
    </row>
    <row r="531" spans="1:1" ht="14.25" customHeight="1">
      <c r="A531" s="17"/>
    </row>
    <row r="532" spans="1:1" ht="14.25" customHeight="1">
      <c r="A532" s="17"/>
    </row>
    <row r="533" spans="1:1" ht="14.25" customHeight="1">
      <c r="A533" s="17"/>
    </row>
    <row r="534" spans="1:1" ht="14.25" customHeight="1">
      <c r="A534" s="17"/>
    </row>
    <row r="535" spans="1:1" ht="14.25" customHeight="1">
      <c r="A535" s="17"/>
    </row>
    <row r="536" spans="1:1" ht="14.25" customHeight="1">
      <c r="A536" s="17"/>
    </row>
    <row r="537" spans="1:1" ht="14.25" customHeight="1">
      <c r="A537" s="17"/>
    </row>
    <row r="538" spans="1:1" ht="14.25" customHeight="1">
      <c r="A538" s="17"/>
    </row>
    <row r="539" spans="1:1" ht="14.25" customHeight="1">
      <c r="A539" s="17"/>
    </row>
    <row r="540" spans="1:1" ht="14.25" customHeight="1">
      <c r="A540" s="17"/>
    </row>
    <row r="541" spans="1:1" ht="14.25" customHeight="1">
      <c r="A541" s="17"/>
    </row>
    <row r="542" spans="1:1" ht="14.25" customHeight="1">
      <c r="A542" s="17"/>
    </row>
    <row r="543" spans="1:1" ht="14.25" customHeight="1">
      <c r="A543" s="17"/>
    </row>
    <row r="544" spans="1:1" ht="14.25" customHeight="1">
      <c r="A544" s="17"/>
    </row>
    <row r="545" spans="1:1" ht="14.25" customHeight="1">
      <c r="A545" s="17"/>
    </row>
    <row r="546" spans="1:1" ht="14.25" customHeight="1">
      <c r="A546" s="17"/>
    </row>
    <row r="547" spans="1:1" ht="14.25" customHeight="1">
      <c r="A547" s="17"/>
    </row>
    <row r="548" spans="1:1" ht="14.25" customHeight="1">
      <c r="A548" s="17"/>
    </row>
    <row r="549" spans="1:1" ht="14.25" customHeight="1">
      <c r="A549" s="17"/>
    </row>
    <row r="550" spans="1:1" ht="14.25" customHeight="1">
      <c r="A550" s="17"/>
    </row>
    <row r="551" spans="1:1" ht="14.25" customHeight="1">
      <c r="A551" s="17"/>
    </row>
    <row r="552" spans="1:1" ht="14.25" customHeight="1">
      <c r="A552" s="17"/>
    </row>
    <row r="553" spans="1:1" ht="14.25" customHeight="1">
      <c r="A553" s="17"/>
    </row>
    <row r="554" spans="1:1" ht="14.25" customHeight="1">
      <c r="A554" s="17"/>
    </row>
    <row r="555" spans="1:1" ht="14.25" customHeight="1">
      <c r="A555" s="17"/>
    </row>
    <row r="556" spans="1:1" ht="14.25" customHeight="1">
      <c r="A556" s="17"/>
    </row>
    <row r="557" spans="1:1" ht="14.25" customHeight="1">
      <c r="A557" s="17"/>
    </row>
    <row r="558" spans="1:1" ht="14.25" customHeight="1">
      <c r="A558" s="17"/>
    </row>
    <row r="559" spans="1:1" ht="14.25" customHeight="1">
      <c r="A559" s="17"/>
    </row>
    <row r="560" spans="1:1" ht="14.25" customHeight="1">
      <c r="A560" s="17"/>
    </row>
    <row r="561" spans="1:1" ht="14.25" customHeight="1">
      <c r="A561" s="17"/>
    </row>
    <row r="562" spans="1:1" ht="14.25" customHeight="1">
      <c r="A562" s="17"/>
    </row>
    <row r="563" spans="1:1" ht="14.25" customHeight="1">
      <c r="A563" s="17"/>
    </row>
    <row r="564" spans="1:1" ht="14.25" customHeight="1">
      <c r="A564" s="17"/>
    </row>
    <row r="565" spans="1:1" ht="14.25" customHeight="1">
      <c r="A565" s="17"/>
    </row>
    <row r="566" spans="1:1" ht="14.25" customHeight="1">
      <c r="A566" s="17"/>
    </row>
    <row r="567" spans="1:1" ht="14.25" customHeight="1">
      <c r="A567" s="17"/>
    </row>
    <row r="568" spans="1:1" ht="14.25" customHeight="1">
      <c r="A568" s="17"/>
    </row>
    <row r="569" spans="1:1" ht="14.25" customHeight="1">
      <c r="A569" s="17"/>
    </row>
    <row r="570" spans="1:1" ht="14.25" customHeight="1">
      <c r="A570" s="17"/>
    </row>
    <row r="571" spans="1:1" ht="14.25" customHeight="1">
      <c r="A571" s="17"/>
    </row>
    <row r="572" spans="1:1" ht="14.25" customHeight="1">
      <c r="A572" s="17"/>
    </row>
    <row r="573" spans="1:1" ht="14.25" customHeight="1">
      <c r="A573" s="17"/>
    </row>
    <row r="574" spans="1:1" ht="14.25" customHeight="1">
      <c r="A574" s="17"/>
    </row>
    <row r="575" spans="1:1" ht="14.25" customHeight="1">
      <c r="A575" s="17"/>
    </row>
    <row r="576" spans="1:1" ht="14.25" customHeight="1">
      <c r="A576" s="17"/>
    </row>
    <row r="577" spans="1:1" ht="14.25" customHeight="1">
      <c r="A577" s="17"/>
    </row>
    <row r="578" spans="1:1" ht="14.25" customHeight="1">
      <c r="A578" s="17"/>
    </row>
    <row r="579" spans="1:1" ht="14.25" customHeight="1">
      <c r="A579" s="17"/>
    </row>
    <row r="580" spans="1:1" ht="14.25" customHeight="1">
      <c r="A580" s="17"/>
    </row>
    <row r="581" spans="1:1" ht="14.25" customHeight="1">
      <c r="A581" s="17"/>
    </row>
    <row r="582" spans="1:1" ht="14.25" customHeight="1">
      <c r="A582" s="17"/>
    </row>
    <row r="583" spans="1:1" ht="14.25" customHeight="1">
      <c r="A583" s="17"/>
    </row>
    <row r="584" spans="1:1" ht="14.25" customHeight="1">
      <c r="A584" s="17"/>
    </row>
    <row r="585" spans="1:1" ht="14.25" customHeight="1">
      <c r="A585" s="17"/>
    </row>
    <row r="586" spans="1:1" ht="14.25" customHeight="1">
      <c r="A586" s="17"/>
    </row>
    <row r="587" spans="1:1" ht="14.25" customHeight="1">
      <c r="A587" s="17"/>
    </row>
    <row r="588" spans="1:1" ht="14.25" customHeight="1">
      <c r="A588" s="17"/>
    </row>
    <row r="589" spans="1:1" ht="14.25" customHeight="1">
      <c r="A589" s="17"/>
    </row>
    <row r="590" spans="1:1" ht="14.25" customHeight="1">
      <c r="A590" s="17"/>
    </row>
    <row r="591" spans="1:1" ht="14.25" customHeight="1">
      <c r="A591" s="17"/>
    </row>
    <row r="592" spans="1:1" ht="14.25" customHeight="1">
      <c r="A592" s="17"/>
    </row>
    <row r="593" spans="1:1" ht="14.25" customHeight="1">
      <c r="A593" s="17"/>
    </row>
    <row r="594" spans="1:1" ht="14.25" customHeight="1">
      <c r="A594" s="17"/>
    </row>
    <row r="595" spans="1:1" ht="14.25" customHeight="1">
      <c r="A595" s="17"/>
    </row>
    <row r="596" spans="1:1" ht="14.25" customHeight="1">
      <c r="A596" s="17"/>
    </row>
    <row r="597" spans="1:1" ht="14.25" customHeight="1">
      <c r="A597" s="17"/>
    </row>
    <row r="598" spans="1:1" ht="14.25" customHeight="1">
      <c r="A598" s="17"/>
    </row>
    <row r="599" spans="1:1" ht="14.25" customHeight="1">
      <c r="A599" s="17"/>
    </row>
    <row r="600" spans="1:1" ht="14.25" customHeight="1">
      <c r="A600" s="17"/>
    </row>
    <row r="601" spans="1:1" ht="14.25" customHeight="1">
      <c r="A601" s="17"/>
    </row>
    <row r="602" spans="1:1" ht="14.25" customHeight="1">
      <c r="A602" s="17"/>
    </row>
    <row r="603" spans="1:1" ht="14.25" customHeight="1">
      <c r="A603" s="17"/>
    </row>
    <row r="604" spans="1:1" ht="14.25" customHeight="1">
      <c r="A604" s="17"/>
    </row>
    <row r="605" spans="1:1" ht="14.25" customHeight="1">
      <c r="A605" s="17"/>
    </row>
    <row r="606" spans="1:1" ht="14.25" customHeight="1">
      <c r="A606" s="17"/>
    </row>
    <row r="607" spans="1:1" ht="14.25" customHeight="1">
      <c r="A607" s="17"/>
    </row>
    <row r="608" spans="1:1" ht="14.25" customHeight="1">
      <c r="A608" s="17"/>
    </row>
    <row r="609" spans="1:1" ht="14.25" customHeight="1">
      <c r="A609" s="17"/>
    </row>
    <row r="610" spans="1:1" ht="14.25" customHeight="1">
      <c r="A610" s="17"/>
    </row>
    <row r="611" spans="1:1" ht="14.25" customHeight="1">
      <c r="A611" s="17"/>
    </row>
    <row r="612" spans="1:1" ht="14.25" customHeight="1">
      <c r="A612" s="17"/>
    </row>
    <row r="613" spans="1:1" ht="14.25" customHeight="1">
      <c r="A613" s="17"/>
    </row>
    <row r="614" spans="1:1" ht="14.25" customHeight="1">
      <c r="A614" s="17"/>
    </row>
    <row r="615" spans="1:1" ht="14.25" customHeight="1">
      <c r="A615" s="17"/>
    </row>
    <row r="616" spans="1:1" ht="14.25" customHeight="1">
      <c r="A616" s="17"/>
    </row>
    <row r="617" spans="1:1" ht="14.25" customHeight="1">
      <c r="A617" s="17"/>
    </row>
    <row r="618" spans="1:1" ht="14.25" customHeight="1">
      <c r="A618" s="17"/>
    </row>
    <row r="619" spans="1:1" ht="14.25" customHeight="1">
      <c r="A619" s="17"/>
    </row>
    <row r="620" spans="1:1" ht="14.25" customHeight="1">
      <c r="A620" s="17"/>
    </row>
    <row r="621" spans="1:1" ht="14.25" customHeight="1">
      <c r="A621" s="17"/>
    </row>
    <row r="622" spans="1:1" ht="14.25" customHeight="1">
      <c r="A622" s="17"/>
    </row>
    <row r="623" spans="1:1" ht="14.25" customHeight="1">
      <c r="A623" s="17"/>
    </row>
    <row r="624" spans="1:1" ht="14.25" customHeight="1">
      <c r="A624" s="17"/>
    </row>
    <row r="625" spans="1:1" ht="14.25" customHeight="1">
      <c r="A625" s="17"/>
    </row>
    <row r="626" spans="1:1" ht="14.25" customHeight="1">
      <c r="A626" s="17"/>
    </row>
    <row r="627" spans="1:1" ht="14.25" customHeight="1">
      <c r="A627" s="17"/>
    </row>
    <row r="628" spans="1:1" ht="14.25" customHeight="1">
      <c r="A628" s="17"/>
    </row>
    <row r="629" spans="1:1" ht="14.25" customHeight="1">
      <c r="A629" s="17"/>
    </row>
    <row r="630" spans="1:1" ht="14.25" customHeight="1">
      <c r="A630" s="17"/>
    </row>
    <row r="631" spans="1:1" ht="14.25" customHeight="1">
      <c r="A631" s="17"/>
    </row>
    <row r="632" spans="1:1" ht="14.25" customHeight="1">
      <c r="A632" s="17"/>
    </row>
    <row r="633" spans="1:1" ht="14.25" customHeight="1">
      <c r="A633" s="17"/>
    </row>
    <row r="634" spans="1:1" ht="14.25" customHeight="1">
      <c r="A634" s="17"/>
    </row>
    <row r="635" spans="1:1" ht="14.25" customHeight="1">
      <c r="A635" s="17"/>
    </row>
    <row r="636" spans="1:1" ht="14.25" customHeight="1">
      <c r="A636" s="17"/>
    </row>
    <row r="637" spans="1:1" ht="14.25" customHeight="1">
      <c r="A637" s="17"/>
    </row>
    <row r="638" spans="1:1" ht="14.25" customHeight="1">
      <c r="A638" s="17"/>
    </row>
    <row r="639" spans="1:1" ht="14.25" customHeight="1">
      <c r="A639" s="17"/>
    </row>
    <row r="640" spans="1:1" ht="14.25" customHeight="1">
      <c r="A640" s="17"/>
    </row>
    <row r="641" spans="1:1" ht="14.25" customHeight="1">
      <c r="A641" s="17"/>
    </row>
    <row r="642" spans="1:1" ht="14.25" customHeight="1">
      <c r="A642" s="17"/>
    </row>
    <row r="643" spans="1:1" ht="14.25" customHeight="1">
      <c r="A643" s="17"/>
    </row>
    <row r="644" spans="1:1" ht="14.25" customHeight="1">
      <c r="A644" s="17"/>
    </row>
    <row r="645" spans="1:1" ht="14.25" customHeight="1">
      <c r="A645" s="17"/>
    </row>
    <row r="646" spans="1:1" ht="14.25" customHeight="1">
      <c r="A646" s="17"/>
    </row>
    <row r="647" spans="1:1" ht="14.25" customHeight="1">
      <c r="A647" s="17"/>
    </row>
    <row r="648" spans="1:1" ht="14.25" customHeight="1">
      <c r="A648" s="17"/>
    </row>
    <row r="649" spans="1:1" ht="14.25" customHeight="1">
      <c r="A649" s="17"/>
    </row>
    <row r="650" spans="1:1" ht="14.25" customHeight="1">
      <c r="A650" s="17"/>
    </row>
    <row r="651" spans="1:1" ht="14.25" customHeight="1">
      <c r="A651" s="17"/>
    </row>
    <row r="652" spans="1:1" ht="14.25" customHeight="1">
      <c r="A652" s="17"/>
    </row>
    <row r="653" spans="1:1" ht="14.25" customHeight="1">
      <c r="A653" s="17"/>
    </row>
    <row r="654" spans="1:1" ht="14.25" customHeight="1">
      <c r="A654" s="17"/>
    </row>
    <row r="655" spans="1:1" ht="14.25" customHeight="1">
      <c r="A655" s="17"/>
    </row>
    <row r="656" spans="1:1" ht="14.25" customHeight="1">
      <c r="A656" s="17"/>
    </row>
    <row r="657" spans="1:1" ht="14.25" customHeight="1">
      <c r="A657" s="17"/>
    </row>
    <row r="658" spans="1:1" ht="14.25" customHeight="1">
      <c r="A658" s="17"/>
    </row>
    <row r="659" spans="1:1" ht="14.25" customHeight="1">
      <c r="A659" s="17"/>
    </row>
    <row r="660" spans="1:1" ht="14.25" customHeight="1">
      <c r="A660" s="17"/>
    </row>
    <row r="661" spans="1:1" ht="14.25" customHeight="1">
      <c r="A661" s="17"/>
    </row>
    <row r="662" spans="1:1" ht="14.25" customHeight="1">
      <c r="A662" s="17"/>
    </row>
    <row r="663" spans="1:1" ht="14.25" customHeight="1">
      <c r="A663" s="17"/>
    </row>
    <row r="664" spans="1:1" ht="14.25" customHeight="1">
      <c r="A664" s="17"/>
    </row>
    <row r="665" spans="1:1" ht="14.25" customHeight="1">
      <c r="A665" s="17"/>
    </row>
    <row r="666" spans="1:1" ht="14.25" customHeight="1">
      <c r="A666" s="17"/>
    </row>
    <row r="667" spans="1:1" ht="14.25" customHeight="1">
      <c r="A667" s="17"/>
    </row>
    <row r="668" spans="1:1" ht="14.25" customHeight="1">
      <c r="A668" s="17"/>
    </row>
    <row r="669" spans="1:1" ht="14.25" customHeight="1">
      <c r="A669" s="17"/>
    </row>
    <row r="670" spans="1:1" ht="14.25" customHeight="1">
      <c r="A670" s="17"/>
    </row>
    <row r="671" spans="1:1" ht="14.25" customHeight="1">
      <c r="A671" s="17"/>
    </row>
    <row r="672" spans="1:1" ht="14.25" customHeight="1">
      <c r="A672" s="17"/>
    </row>
    <row r="673" spans="1:1" ht="14.25" customHeight="1">
      <c r="A673" s="17"/>
    </row>
    <row r="674" spans="1:1" ht="14.25" customHeight="1">
      <c r="A674" s="17"/>
    </row>
    <row r="675" spans="1:1" ht="14.25" customHeight="1">
      <c r="A675" s="17"/>
    </row>
    <row r="676" spans="1:1" ht="14.25" customHeight="1">
      <c r="A676" s="17"/>
    </row>
    <row r="677" spans="1:1" ht="14.25" customHeight="1">
      <c r="A677" s="17"/>
    </row>
    <row r="678" spans="1:1" ht="14.25" customHeight="1">
      <c r="A678" s="17"/>
    </row>
    <row r="679" spans="1:1" ht="14.25" customHeight="1">
      <c r="A679" s="17"/>
    </row>
    <row r="680" spans="1:1" ht="14.25" customHeight="1">
      <c r="A680" s="17"/>
    </row>
    <row r="681" spans="1:1" ht="14.25" customHeight="1">
      <c r="A681" s="17"/>
    </row>
    <row r="682" spans="1:1" ht="14.25" customHeight="1">
      <c r="A682" s="17"/>
    </row>
    <row r="683" spans="1:1" ht="14.25" customHeight="1">
      <c r="A683" s="17"/>
    </row>
    <row r="684" spans="1:1" ht="14.25" customHeight="1">
      <c r="A684" s="17"/>
    </row>
    <row r="685" spans="1:1" ht="14.25" customHeight="1">
      <c r="A685" s="17"/>
    </row>
    <row r="686" spans="1:1" ht="14.25" customHeight="1">
      <c r="A686" s="17"/>
    </row>
    <row r="687" spans="1:1" ht="14.25" customHeight="1">
      <c r="A687" s="17"/>
    </row>
    <row r="688" spans="1:1" ht="14.25" customHeight="1">
      <c r="A688" s="17"/>
    </row>
    <row r="689" spans="1:1" ht="14.25" customHeight="1">
      <c r="A689" s="17"/>
    </row>
    <row r="690" spans="1:1" ht="14.25" customHeight="1">
      <c r="A690" s="17"/>
    </row>
    <row r="691" spans="1:1" ht="14.25" customHeight="1">
      <c r="A691" s="17"/>
    </row>
    <row r="692" spans="1:1" ht="14.25" customHeight="1">
      <c r="A692" s="17"/>
    </row>
    <row r="693" spans="1:1" ht="14.25" customHeight="1">
      <c r="A693" s="17"/>
    </row>
    <row r="694" spans="1:1" ht="14.25" customHeight="1">
      <c r="A694" s="17"/>
    </row>
    <row r="695" spans="1:1" ht="14.25" customHeight="1">
      <c r="A695" s="17"/>
    </row>
    <row r="696" spans="1:1" ht="14.25" customHeight="1">
      <c r="A696" s="17"/>
    </row>
    <row r="697" spans="1:1" ht="14.25" customHeight="1">
      <c r="A697" s="17"/>
    </row>
    <row r="698" spans="1:1" ht="14.25" customHeight="1">
      <c r="A698" s="17"/>
    </row>
    <row r="699" spans="1:1" ht="14.25" customHeight="1">
      <c r="A699" s="17"/>
    </row>
    <row r="700" spans="1:1" ht="14.25" customHeight="1">
      <c r="A700" s="17"/>
    </row>
    <row r="701" spans="1:1" ht="14.25" customHeight="1">
      <c r="A701" s="17"/>
    </row>
    <row r="702" spans="1:1" ht="14.25" customHeight="1">
      <c r="A702" s="17"/>
    </row>
    <row r="703" spans="1:1" ht="14.25" customHeight="1">
      <c r="A703" s="17"/>
    </row>
    <row r="704" spans="1:1" ht="14.25" customHeight="1">
      <c r="A704" s="17"/>
    </row>
    <row r="705" spans="1:1" ht="14.25" customHeight="1">
      <c r="A705" s="17"/>
    </row>
    <row r="706" spans="1:1" ht="14.25" customHeight="1">
      <c r="A706" s="17"/>
    </row>
    <row r="707" spans="1:1" ht="14.25" customHeight="1">
      <c r="A707" s="17"/>
    </row>
    <row r="708" spans="1:1" ht="14.25" customHeight="1">
      <c r="A708" s="17"/>
    </row>
    <row r="709" spans="1:1" ht="14.25" customHeight="1">
      <c r="A709" s="17"/>
    </row>
    <row r="710" spans="1:1" ht="14.25" customHeight="1">
      <c r="A710" s="17"/>
    </row>
    <row r="711" spans="1:1" ht="14.25" customHeight="1">
      <c r="A711" s="17"/>
    </row>
    <row r="712" spans="1:1" ht="14.25" customHeight="1">
      <c r="A712" s="17"/>
    </row>
    <row r="713" spans="1:1" ht="14.25" customHeight="1">
      <c r="A713" s="17"/>
    </row>
    <row r="714" spans="1:1" ht="14.25" customHeight="1">
      <c r="A714" s="17"/>
    </row>
    <row r="715" spans="1:1" ht="14.25" customHeight="1">
      <c r="A715" s="17"/>
    </row>
    <row r="716" spans="1:1" ht="14.25" customHeight="1">
      <c r="A716" s="17"/>
    </row>
    <row r="717" spans="1:1" ht="14.25" customHeight="1">
      <c r="A717" s="17"/>
    </row>
    <row r="718" spans="1:1" ht="14.25" customHeight="1">
      <c r="A718" s="17"/>
    </row>
    <row r="719" spans="1:1" ht="14.25" customHeight="1">
      <c r="A719" s="17"/>
    </row>
    <row r="720" spans="1:1" ht="14.25" customHeight="1">
      <c r="A720" s="17"/>
    </row>
    <row r="721" spans="1:1" ht="14.25" customHeight="1">
      <c r="A721" s="17"/>
    </row>
    <row r="722" spans="1:1" ht="14.25" customHeight="1">
      <c r="A722" s="17"/>
    </row>
    <row r="723" spans="1:1" ht="14.25" customHeight="1">
      <c r="A723" s="17"/>
    </row>
    <row r="724" spans="1:1" ht="14.25" customHeight="1">
      <c r="A724" s="17"/>
    </row>
    <row r="725" spans="1:1" ht="14.25" customHeight="1">
      <c r="A725" s="17"/>
    </row>
    <row r="726" spans="1:1" ht="14.25" customHeight="1">
      <c r="A726" s="17"/>
    </row>
    <row r="727" spans="1:1" ht="14.25" customHeight="1">
      <c r="A727" s="17"/>
    </row>
    <row r="728" spans="1:1" ht="14.25" customHeight="1">
      <c r="A728" s="17"/>
    </row>
    <row r="729" spans="1:1" ht="14.25" customHeight="1">
      <c r="A729" s="17"/>
    </row>
    <row r="730" spans="1:1" ht="14.25" customHeight="1">
      <c r="A730" s="17"/>
    </row>
    <row r="731" spans="1:1" ht="14.25" customHeight="1">
      <c r="A731" s="17"/>
    </row>
    <row r="732" spans="1:1" ht="14.25" customHeight="1">
      <c r="A732" s="17"/>
    </row>
    <row r="733" spans="1:1" ht="14.25" customHeight="1">
      <c r="A733" s="17"/>
    </row>
    <row r="734" spans="1:1" ht="14.25" customHeight="1">
      <c r="A734" s="17"/>
    </row>
    <row r="735" spans="1:1" ht="14.25" customHeight="1">
      <c r="A735" s="17"/>
    </row>
    <row r="736" spans="1:1" ht="14.25" customHeight="1">
      <c r="A736" s="17"/>
    </row>
    <row r="737" spans="1:1" ht="14.25" customHeight="1">
      <c r="A737" s="17"/>
    </row>
    <row r="738" spans="1:1" ht="14.25" customHeight="1">
      <c r="A738" s="17"/>
    </row>
    <row r="739" spans="1:1" ht="14.25" customHeight="1">
      <c r="A739" s="17"/>
    </row>
    <row r="740" spans="1:1" ht="14.25" customHeight="1">
      <c r="A740" s="17"/>
    </row>
    <row r="741" spans="1:1" ht="14.25" customHeight="1">
      <c r="A741" s="17"/>
    </row>
    <row r="742" spans="1:1" ht="14.25" customHeight="1">
      <c r="A742" s="17"/>
    </row>
    <row r="743" spans="1:1" ht="14.25" customHeight="1">
      <c r="A743" s="17"/>
    </row>
    <row r="744" spans="1:1" ht="14.25" customHeight="1">
      <c r="A744" s="17"/>
    </row>
    <row r="745" spans="1:1" ht="14.25" customHeight="1">
      <c r="A745" s="17"/>
    </row>
    <row r="746" spans="1:1" ht="14.25" customHeight="1">
      <c r="A746" s="17"/>
    </row>
    <row r="747" spans="1:1" ht="14.25" customHeight="1">
      <c r="A747" s="17"/>
    </row>
    <row r="748" spans="1:1" ht="14.25" customHeight="1">
      <c r="A748" s="17"/>
    </row>
    <row r="749" spans="1:1" ht="14.25" customHeight="1">
      <c r="A749" s="17"/>
    </row>
    <row r="750" spans="1:1" ht="14.25" customHeight="1">
      <c r="A750" s="17"/>
    </row>
    <row r="751" spans="1:1" ht="14.25" customHeight="1">
      <c r="A751" s="17"/>
    </row>
    <row r="752" spans="1:1" ht="14.25" customHeight="1">
      <c r="A752" s="17"/>
    </row>
    <row r="753" spans="1:1" ht="14.25" customHeight="1">
      <c r="A753" s="17"/>
    </row>
    <row r="754" spans="1:1" ht="14.25" customHeight="1">
      <c r="A754" s="17"/>
    </row>
    <row r="755" spans="1:1" ht="14.25" customHeight="1">
      <c r="A755" s="17"/>
    </row>
    <row r="756" spans="1:1" ht="14.25" customHeight="1">
      <c r="A756" s="17"/>
    </row>
    <row r="757" spans="1:1" ht="14.25" customHeight="1">
      <c r="A757" s="17"/>
    </row>
    <row r="758" spans="1:1" ht="14.25" customHeight="1">
      <c r="A758" s="17"/>
    </row>
    <row r="759" spans="1:1" ht="14.25" customHeight="1">
      <c r="A759" s="17"/>
    </row>
    <row r="760" spans="1:1" ht="14.25" customHeight="1">
      <c r="A760" s="17"/>
    </row>
    <row r="761" spans="1:1" ht="14.25" customHeight="1">
      <c r="A761" s="17"/>
    </row>
    <row r="762" spans="1:1" ht="14.25" customHeight="1">
      <c r="A762" s="17"/>
    </row>
    <row r="763" spans="1:1" ht="14.25" customHeight="1">
      <c r="A763" s="17"/>
    </row>
    <row r="764" spans="1:1" ht="14.25" customHeight="1">
      <c r="A764" s="17"/>
    </row>
    <row r="765" spans="1:1" ht="14.25" customHeight="1">
      <c r="A765" s="17"/>
    </row>
    <row r="766" spans="1:1" ht="14.25" customHeight="1">
      <c r="A766" s="17"/>
    </row>
    <row r="767" spans="1:1" ht="14.25" customHeight="1">
      <c r="A767" s="17"/>
    </row>
    <row r="768" spans="1:1" ht="14.25" customHeight="1">
      <c r="A768" s="17"/>
    </row>
    <row r="769" spans="1:1" ht="14.25" customHeight="1">
      <c r="A769" s="17"/>
    </row>
    <row r="770" spans="1:1" ht="14.25" customHeight="1">
      <c r="A770" s="17"/>
    </row>
    <row r="771" spans="1:1" ht="14.25" customHeight="1">
      <c r="A771" s="17"/>
    </row>
    <row r="772" spans="1:1" ht="14.25" customHeight="1">
      <c r="A772" s="17"/>
    </row>
    <row r="773" spans="1:1" ht="14.25" customHeight="1">
      <c r="A773" s="17"/>
    </row>
    <row r="774" spans="1:1" ht="14.25" customHeight="1">
      <c r="A774" s="17"/>
    </row>
    <row r="775" spans="1:1" ht="14.25" customHeight="1">
      <c r="A775" s="17"/>
    </row>
    <row r="776" spans="1:1" ht="14.25" customHeight="1">
      <c r="A776" s="17"/>
    </row>
    <row r="777" spans="1:1" ht="14.25" customHeight="1">
      <c r="A777" s="17"/>
    </row>
    <row r="778" spans="1:1" ht="14.25" customHeight="1">
      <c r="A778" s="17"/>
    </row>
    <row r="779" spans="1:1" ht="14.25" customHeight="1">
      <c r="A779" s="17"/>
    </row>
    <row r="780" spans="1:1" ht="14.25" customHeight="1">
      <c r="A780" s="17"/>
    </row>
    <row r="781" spans="1:1" ht="14.25" customHeight="1">
      <c r="A781" s="17"/>
    </row>
    <row r="782" spans="1:1" ht="14.25" customHeight="1">
      <c r="A782" s="17"/>
    </row>
    <row r="783" spans="1:1" ht="14.25" customHeight="1">
      <c r="A783" s="17"/>
    </row>
    <row r="784" spans="1:1" ht="14.25" customHeight="1">
      <c r="A784" s="17"/>
    </row>
    <row r="785" spans="1:1" ht="14.25" customHeight="1">
      <c r="A785" s="17"/>
    </row>
    <row r="786" spans="1:1" ht="14.25" customHeight="1">
      <c r="A786" s="17"/>
    </row>
    <row r="787" spans="1:1" ht="14.25" customHeight="1">
      <c r="A787" s="17"/>
    </row>
    <row r="788" spans="1:1" ht="14.25" customHeight="1">
      <c r="A788" s="17"/>
    </row>
    <row r="789" spans="1:1" ht="14.25" customHeight="1">
      <c r="A789" s="17"/>
    </row>
    <row r="790" spans="1:1" ht="14.25" customHeight="1">
      <c r="A790" s="17"/>
    </row>
    <row r="791" spans="1:1" ht="14.25" customHeight="1">
      <c r="A791" s="17"/>
    </row>
    <row r="792" spans="1:1" ht="14.25" customHeight="1">
      <c r="A792" s="17"/>
    </row>
    <row r="793" spans="1:1" ht="14.25" customHeight="1">
      <c r="A793" s="17"/>
    </row>
    <row r="794" spans="1:1" ht="14.25" customHeight="1">
      <c r="A794" s="17"/>
    </row>
    <row r="795" spans="1:1" ht="14.25" customHeight="1">
      <c r="A795" s="17"/>
    </row>
    <row r="796" spans="1:1" ht="14.25" customHeight="1">
      <c r="A796" s="17"/>
    </row>
    <row r="797" spans="1:1" ht="14.25" customHeight="1">
      <c r="A797" s="17"/>
    </row>
    <row r="798" spans="1:1" ht="14.25" customHeight="1">
      <c r="A798" s="17"/>
    </row>
    <row r="799" spans="1:1" ht="14.25" customHeight="1">
      <c r="A799" s="17"/>
    </row>
    <row r="800" spans="1:1" ht="14.25" customHeight="1">
      <c r="A800" s="17"/>
    </row>
    <row r="801" spans="1:1" ht="14.25" customHeight="1">
      <c r="A801" s="17"/>
    </row>
    <row r="802" spans="1:1" ht="14.25" customHeight="1">
      <c r="A802" s="17"/>
    </row>
    <row r="803" spans="1:1" ht="14.25" customHeight="1">
      <c r="A803" s="17"/>
    </row>
    <row r="804" spans="1:1" ht="14.25" customHeight="1">
      <c r="A804" s="17"/>
    </row>
    <row r="805" spans="1:1" ht="14.25" customHeight="1">
      <c r="A805" s="17"/>
    </row>
    <row r="806" spans="1:1" ht="14.25" customHeight="1">
      <c r="A806" s="17"/>
    </row>
    <row r="807" spans="1:1" ht="14.25" customHeight="1">
      <c r="A807" s="17"/>
    </row>
    <row r="808" spans="1:1" ht="14.25" customHeight="1">
      <c r="A808" s="17"/>
    </row>
    <row r="809" spans="1:1" ht="14.25" customHeight="1">
      <c r="A809" s="17"/>
    </row>
    <row r="810" spans="1:1" ht="14.25" customHeight="1">
      <c r="A810" s="17"/>
    </row>
    <row r="811" spans="1:1" ht="14.25" customHeight="1">
      <c r="A811" s="17"/>
    </row>
    <row r="812" spans="1:1" ht="14.25" customHeight="1">
      <c r="A812" s="17"/>
    </row>
    <row r="813" spans="1:1" ht="14.25" customHeight="1">
      <c r="A813" s="17"/>
    </row>
    <row r="814" spans="1:1" ht="14.25" customHeight="1">
      <c r="A814" s="17"/>
    </row>
    <row r="815" spans="1:1" ht="14.25" customHeight="1">
      <c r="A815" s="17"/>
    </row>
    <row r="816" spans="1:1" ht="14.25" customHeight="1">
      <c r="A816" s="17"/>
    </row>
    <row r="817" spans="1:1" ht="14.25" customHeight="1">
      <c r="A817" s="17"/>
    </row>
    <row r="818" spans="1:1" ht="14.25" customHeight="1">
      <c r="A818" s="17"/>
    </row>
    <row r="819" spans="1:1" ht="14.25" customHeight="1">
      <c r="A819" s="17"/>
    </row>
    <row r="820" spans="1:1" ht="14.25" customHeight="1">
      <c r="A820" s="17"/>
    </row>
    <row r="821" spans="1:1" ht="14.25" customHeight="1">
      <c r="A821" s="17"/>
    </row>
    <row r="822" spans="1:1" ht="14.25" customHeight="1">
      <c r="A822" s="17"/>
    </row>
    <row r="823" spans="1:1" ht="14.25" customHeight="1">
      <c r="A823" s="17"/>
    </row>
    <row r="824" spans="1:1" ht="14.25" customHeight="1">
      <c r="A824" s="17"/>
    </row>
    <row r="825" spans="1:1" ht="14.25" customHeight="1">
      <c r="A825" s="17"/>
    </row>
    <row r="826" spans="1:1" ht="14.25" customHeight="1">
      <c r="A826" s="17"/>
    </row>
    <row r="827" spans="1:1" ht="14.25" customHeight="1">
      <c r="A827" s="17"/>
    </row>
    <row r="828" spans="1:1" ht="14.25" customHeight="1">
      <c r="A828" s="17"/>
    </row>
    <row r="829" spans="1:1" ht="14.25" customHeight="1">
      <c r="A829" s="17"/>
    </row>
    <row r="830" spans="1:1" ht="14.25" customHeight="1">
      <c r="A830" s="17"/>
    </row>
    <row r="831" spans="1:1" ht="14.25" customHeight="1">
      <c r="A831" s="17"/>
    </row>
    <row r="832" spans="1:1" ht="14.25" customHeight="1">
      <c r="A832" s="17"/>
    </row>
    <row r="833" spans="1:1" ht="14.25" customHeight="1">
      <c r="A833" s="17"/>
    </row>
    <row r="834" spans="1:1" ht="14.25" customHeight="1">
      <c r="A834" s="17"/>
    </row>
    <row r="835" spans="1:1" ht="14.25" customHeight="1">
      <c r="A835" s="17"/>
    </row>
    <row r="836" spans="1:1" ht="14.25" customHeight="1">
      <c r="A836" s="17"/>
    </row>
    <row r="837" spans="1:1" ht="14.25" customHeight="1">
      <c r="A837" s="17"/>
    </row>
    <row r="838" spans="1:1" ht="14.25" customHeight="1">
      <c r="A838" s="17"/>
    </row>
    <row r="839" spans="1:1" ht="14.25" customHeight="1">
      <c r="A839" s="17"/>
    </row>
    <row r="840" spans="1:1" ht="14.25" customHeight="1">
      <c r="A840" s="17"/>
    </row>
    <row r="841" spans="1:1" ht="14.25" customHeight="1">
      <c r="A841" s="17"/>
    </row>
    <row r="842" spans="1:1" ht="14.25" customHeight="1">
      <c r="A842" s="17"/>
    </row>
    <row r="843" spans="1:1" ht="14.25" customHeight="1">
      <c r="A843" s="17"/>
    </row>
    <row r="844" spans="1:1" ht="14.25" customHeight="1">
      <c r="A844" s="17"/>
    </row>
    <row r="845" spans="1:1" ht="14.25" customHeight="1">
      <c r="A845" s="17"/>
    </row>
    <row r="846" spans="1:1" ht="14.25" customHeight="1">
      <c r="A846" s="17"/>
    </row>
    <row r="847" spans="1:1" ht="14.25" customHeight="1">
      <c r="A847" s="17"/>
    </row>
    <row r="848" spans="1:1" ht="14.25" customHeight="1">
      <c r="A848" s="17"/>
    </row>
    <row r="849" spans="1:1" ht="14.25" customHeight="1">
      <c r="A849" s="17"/>
    </row>
    <row r="850" spans="1:1" ht="14.25" customHeight="1">
      <c r="A850" s="17"/>
    </row>
    <row r="851" spans="1:1" ht="14.25" customHeight="1">
      <c r="A851" s="17"/>
    </row>
    <row r="852" spans="1:1" ht="14.25" customHeight="1">
      <c r="A852" s="17"/>
    </row>
    <row r="853" spans="1:1" ht="14.25" customHeight="1">
      <c r="A853" s="17"/>
    </row>
    <row r="854" spans="1:1" ht="14.25" customHeight="1">
      <c r="A854" s="17"/>
    </row>
    <row r="855" spans="1:1" ht="14.25" customHeight="1">
      <c r="A855" s="17"/>
    </row>
    <row r="856" spans="1:1" ht="14.25" customHeight="1">
      <c r="A856" s="17"/>
    </row>
    <row r="857" spans="1:1" ht="14.25" customHeight="1">
      <c r="A857" s="17"/>
    </row>
    <row r="858" spans="1:1" ht="14.25" customHeight="1">
      <c r="A858" s="17"/>
    </row>
    <row r="859" spans="1:1" ht="14.25" customHeight="1">
      <c r="A859" s="17"/>
    </row>
    <row r="860" spans="1:1" ht="14.25" customHeight="1">
      <c r="A860" s="17"/>
    </row>
    <row r="861" spans="1:1" ht="14.25" customHeight="1">
      <c r="A861" s="17"/>
    </row>
    <row r="862" spans="1:1" ht="14.25" customHeight="1">
      <c r="A862" s="17"/>
    </row>
    <row r="863" spans="1:1" ht="14.25" customHeight="1">
      <c r="A863" s="17"/>
    </row>
    <row r="864" spans="1:1" ht="14.25" customHeight="1">
      <c r="A864" s="17"/>
    </row>
    <row r="865" spans="1:1" ht="14.25" customHeight="1">
      <c r="A865" s="17"/>
    </row>
    <row r="866" spans="1:1" ht="14.25" customHeight="1">
      <c r="A866" s="17"/>
    </row>
    <row r="867" spans="1:1" ht="14.25" customHeight="1">
      <c r="A867" s="17"/>
    </row>
    <row r="868" spans="1:1" ht="14.25" customHeight="1">
      <c r="A868" s="17"/>
    </row>
    <row r="869" spans="1:1" ht="14.25" customHeight="1">
      <c r="A869" s="17"/>
    </row>
    <row r="870" spans="1:1" ht="14.25" customHeight="1">
      <c r="A870" s="17"/>
    </row>
    <row r="871" spans="1:1" ht="14.25" customHeight="1">
      <c r="A871" s="17"/>
    </row>
    <row r="872" spans="1:1" ht="14.25" customHeight="1">
      <c r="A872" s="17"/>
    </row>
    <row r="873" spans="1:1" ht="14.25" customHeight="1">
      <c r="A873" s="17"/>
    </row>
    <row r="874" spans="1:1" ht="14.25" customHeight="1">
      <c r="A874" s="17"/>
    </row>
    <row r="875" spans="1:1" ht="14.25" customHeight="1">
      <c r="A875" s="17"/>
    </row>
    <row r="876" spans="1:1" ht="14.25" customHeight="1">
      <c r="A876" s="17"/>
    </row>
    <row r="877" spans="1:1" ht="14.25" customHeight="1">
      <c r="A877" s="17"/>
    </row>
    <row r="878" spans="1:1" ht="14.25" customHeight="1">
      <c r="A878" s="17"/>
    </row>
    <row r="879" spans="1:1" ht="14.25" customHeight="1">
      <c r="A879" s="17"/>
    </row>
    <row r="880" spans="1:1" ht="14.25" customHeight="1">
      <c r="A880" s="17"/>
    </row>
    <row r="881" spans="1:1" ht="14.25" customHeight="1">
      <c r="A881" s="17"/>
    </row>
    <row r="882" spans="1:1" ht="14.25" customHeight="1">
      <c r="A882" s="17"/>
    </row>
    <row r="883" spans="1:1" ht="14.25" customHeight="1">
      <c r="A883" s="17"/>
    </row>
    <row r="884" spans="1:1" ht="14.25" customHeight="1">
      <c r="A884" s="17"/>
    </row>
    <row r="885" spans="1:1" ht="14.25" customHeight="1">
      <c r="A885" s="17"/>
    </row>
    <row r="886" spans="1:1" ht="14.25" customHeight="1">
      <c r="A886" s="17"/>
    </row>
    <row r="887" spans="1:1" ht="14.25" customHeight="1">
      <c r="A887" s="17"/>
    </row>
    <row r="888" spans="1:1" ht="14.25" customHeight="1">
      <c r="A888" s="17"/>
    </row>
    <row r="889" spans="1:1" ht="14.25" customHeight="1">
      <c r="A889" s="17"/>
    </row>
    <row r="890" spans="1:1" ht="14.25" customHeight="1">
      <c r="A890" s="17"/>
    </row>
    <row r="891" spans="1:1" ht="14.25" customHeight="1">
      <c r="A891" s="17"/>
    </row>
    <row r="892" spans="1:1" ht="14.25" customHeight="1">
      <c r="A892" s="17"/>
    </row>
    <row r="893" spans="1:1" ht="14.25" customHeight="1">
      <c r="A893" s="17"/>
    </row>
    <row r="894" spans="1:1" ht="14.25" customHeight="1">
      <c r="A894" s="17"/>
    </row>
    <row r="895" spans="1:1" ht="14.25" customHeight="1">
      <c r="A895" s="17"/>
    </row>
    <row r="896" spans="1:1" ht="14.25" customHeight="1">
      <c r="A896" s="17"/>
    </row>
    <row r="897" spans="1:1" ht="14.25" customHeight="1">
      <c r="A897" s="17"/>
    </row>
    <row r="898" spans="1:1" ht="14.25" customHeight="1">
      <c r="A898" s="17"/>
    </row>
    <row r="899" spans="1:1" ht="14.25" customHeight="1">
      <c r="A899" s="17"/>
    </row>
    <row r="900" spans="1:1" ht="14.25" customHeight="1">
      <c r="A900" s="17"/>
    </row>
    <row r="901" spans="1:1" ht="14.25" customHeight="1">
      <c r="A901" s="17"/>
    </row>
    <row r="902" spans="1:1" ht="14.25" customHeight="1">
      <c r="A902" s="17"/>
    </row>
    <row r="903" spans="1:1" ht="14.25" customHeight="1">
      <c r="A903" s="17"/>
    </row>
    <row r="904" spans="1:1" ht="14.25" customHeight="1">
      <c r="A904" s="17"/>
    </row>
    <row r="905" spans="1:1" ht="14.25" customHeight="1">
      <c r="A905" s="17"/>
    </row>
    <row r="906" spans="1:1" ht="14.25" customHeight="1">
      <c r="A906" s="17"/>
    </row>
    <row r="907" spans="1:1" ht="14.25" customHeight="1">
      <c r="A907" s="17"/>
    </row>
    <row r="908" spans="1:1" ht="14.25" customHeight="1">
      <c r="A908" s="17"/>
    </row>
    <row r="909" spans="1:1" ht="14.25" customHeight="1">
      <c r="A909" s="17"/>
    </row>
    <row r="910" spans="1:1" ht="14.25" customHeight="1">
      <c r="A910" s="17"/>
    </row>
    <row r="911" spans="1:1" ht="14.25" customHeight="1">
      <c r="A911" s="17"/>
    </row>
    <row r="912" spans="1:1" ht="14.25" customHeight="1">
      <c r="A912" s="17"/>
    </row>
    <row r="913" spans="1:1" ht="14.25" customHeight="1">
      <c r="A913" s="17"/>
    </row>
    <row r="914" spans="1:1" ht="14.25" customHeight="1">
      <c r="A914" s="17"/>
    </row>
    <row r="915" spans="1:1" ht="14.25" customHeight="1">
      <c r="A915" s="17"/>
    </row>
    <row r="916" spans="1:1" ht="14.25" customHeight="1">
      <c r="A916" s="17"/>
    </row>
    <row r="917" spans="1:1" ht="14.25" customHeight="1">
      <c r="A917" s="17"/>
    </row>
    <row r="918" spans="1:1" ht="14.25" customHeight="1">
      <c r="A918" s="17"/>
    </row>
    <row r="919" spans="1:1" ht="14.25" customHeight="1">
      <c r="A919" s="17"/>
    </row>
    <row r="920" spans="1:1" ht="14.25" customHeight="1">
      <c r="A920" s="17"/>
    </row>
    <row r="921" spans="1:1" ht="14.25" customHeight="1">
      <c r="A921" s="17"/>
    </row>
    <row r="922" spans="1:1" ht="14.25" customHeight="1">
      <c r="A922" s="17"/>
    </row>
    <row r="923" spans="1:1" ht="14.25" customHeight="1">
      <c r="A923" s="17"/>
    </row>
    <row r="924" spans="1:1" ht="14.25" customHeight="1">
      <c r="A924" s="17"/>
    </row>
    <row r="925" spans="1:1" ht="14.25" customHeight="1">
      <c r="A925" s="17"/>
    </row>
    <row r="926" spans="1:1" ht="14.25" customHeight="1">
      <c r="A926" s="17"/>
    </row>
    <row r="927" spans="1:1" ht="14.25" customHeight="1">
      <c r="A927" s="17"/>
    </row>
    <row r="928" spans="1:1" ht="14.25" customHeight="1">
      <c r="A928" s="17"/>
    </row>
    <row r="929" spans="1:1" ht="14.25" customHeight="1">
      <c r="A929" s="17"/>
    </row>
    <row r="930" spans="1:1" ht="14.25" customHeight="1">
      <c r="A930" s="17"/>
    </row>
    <row r="931" spans="1:1" ht="14.25" customHeight="1">
      <c r="A931" s="17"/>
    </row>
    <row r="932" spans="1:1" ht="14.25" customHeight="1">
      <c r="A932" s="17"/>
    </row>
    <row r="933" spans="1:1" ht="14.25" customHeight="1">
      <c r="A933" s="17"/>
    </row>
    <row r="934" spans="1:1" ht="14.25" customHeight="1">
      <c r="A934" s="17"/>
    </row>
    <row r="935" spans="1:1" ht="14.25" customHeight="1">
      <c r="A935" s="17"/>
    </row>
    <row r="936" spans="1:1" ht="14.25" customHeight="1">
      <c r="A936" s="17"/>
    </row>
    <row r="937" spans="1:1" ht="14.25" customHeight="1">
      <c r="A937" s="17"/>
    </row>
    <row r="938" spans="1:1" ht="14.25" customHeight="1">
      <c r="A938" s="17"/>
    </row>
    <row r="939" spans="1:1" ht="14.25" customHeight="1">
      <c r="A939" s="17"/>
    </row>
    <row r="940" spans="1:1" ht="14.25" customHeight="1">
      <c r="A940" s="17"/>
    </row>
    <row r="941" spans="1:1" ht="14.25" customHeight="1">
      <c r="A941" s="17"/>
    </row>
    <row r="942" spans="1:1" ht="14.25" customHeight="1">
      <c r="A942" s="17"/>
    </row>
    <row r="943" spans="1:1" ht="14.25" customHeight="1">
      <c r="A943" s="17"/>
    </row>
    <row r="944" spans="1:1" ht="14.25" customHeight="1">
      <c r="A944" s="17"/>
    </row>
    <row r="945" spans="1:1" ht="14.25" customHeight="1">
      <c r="A945" s="17"/>
    </row>
    <row r="946" spans="1:1" ht="14.25" customHeight="1">
      <c r="A946" s="17"/>
    </row>
    <row r="947" spans="1:1" ht="14.25" customHeight="1">
      <c r="A947" s="17"/>
    </row>
    <row r="948" spans="1:1" ht="14.25" customHeight="1">
      <c r="A948" s="17"/>
    </row>
    <row r="949" spans="1:1" ht="14.25" customHeight="1">
      <c r="A949" s="17"/>
    </row>
    <row r="950" spans="1:1" ht="14.25" customHeight="1">
      <c r="A950" s="17"/>
    </row>
    <row r="951" spans="1:1" ht="14.25" customHeight="1">
      <c r="A951" s="17"/>
    </row>
    <row r="952" spans="1:1" ht="14.25" customHeight="1">
      <c r="A952" s="17"/>
    </row>
    <row r="953" spans="1:1" ht="14.25" customHeight="1">
      <c r="A953" s="17"/>
    </row>
    <row r="954" spans="1:1" ht="14.25" customHeight="1">
      <c r="A954" s="17"/>
    </row>
    <row r="955" spans="1:1" ht="14.25" customHeight="1">
      <c r="A955" s="17"/>
    </row>
    <row r="956" spans="1:1" ht="14.25" customHeight="1">
      <c r="A956" s="17"/>
    </row>
    <row r="957" spans="1:1" ht="14.25" customHeight="1">
      <c r="A957" s="17"/>
    </row>
    <row r="958" spans="1:1" ht="14.25" customHeight="1">
      <c r="A958" s="17"/>
    </row>
    <row r="959" spans="1:1" ht="14.25" customHeight="1">
      <c r="A959" s="17"/>
    </row>
    <row r="960" spans="1:1" ht="14.25" customHeight="1">
      <c r="A960" s="17"/>
    </row>
    <row r="961" spans="1:1" ht="14.25" customHeight="1">
      <c r="A961" s="17"/>
    </row>
    <row r="962" spans="1:1" ht="14.25" customHeight="1">
      <c r="A962" s="17"/>
    </row>
    <row r="963" spans="1:1" ht="14.25" customHeight="1">
      <c r="A963" s="17"/>
    </row>
    <row r="964" spans="1:1" ht="14.25" customHeight="1">
      <c r="A964" s="17"/>
    </row>
    <row r="965" spans="1:1" ht="14.25" customHeight="1">
      <c r="A965" s="17"/>
    </row>
    <row r="966" spans="1:1" ht="14.25" customHeight="1">
      <c r="A966" s="17"/>
    </row>
    <row r="967" spans="1:1" ht="14.25" customHeight="1">
      <c r="A967" s="17"/>
    </row>
    <row r="968" spans="1:1" ht="14.25" customHeight="1">
      <c r="A968" s="17"/>
    </row>
    <row r="969" spans="1:1" ht="14.25" customHeight="1">
      <c r="A969" s="17"/>
    </row>
    <row r="970" spans="1:1" ht="14.25" customHeight="1">
      <c r="A970" s="17"/>
    </row>
    <row r="971" spans="1:1" ht="14.25" customHeight="1">
      <c r="A971" s="17"/>
    </row>
    <row r="972" spans="1:1" ht="14.25" customHeight="1">
      <c r="A972" s="17"/>
    </row>
    <row r="973" spans="1:1" ht="14.25" customHeight="1">
      <c r="A973" s="17"/>
    </row>
    <row r="974" spans="1:1" ht="14.25" customHeight="1">
      <c r="A974" s="17"/>
    </row>
    <row r="975" spans="1:1" ht="14.25" customHeight="1">
      <c r="A975" s="17"/>
    </row>
    <row r="976" spans="1:1" ht="14.25" customHeight="1">
      <c r="A976" s="17"/>
    </row>
    <row r="977" spans="1:1" ht="14.25" customHeight="1">
      <c r="A977" s="17"/>
    </row>
    <row r="978" spans="1:1" ht="14.25" customHeight="1">
      <c r="A978" s="17"/>
    </row>
    <row r="979" spans="1:1" ht="14.25" customHeight="1">
      <c r="A979" s="17"/>
    </row>
    <row r="980" spans="1:1" ht="14.25" customHeight="1">
      <c r="A980" s="17"/>
    </row>
    <row r="981" spans="1:1" ht="14.25" customHeight="1">
      <c r="A981" s="17"/>
    </row>
    <row r="982" spans="1:1" ht="14.25" customHeight="1">
      <c r="A982" s="17"/>
    </row>
    <row r="983" spans="1:1" ht="14.25" customHeight="1">
      <c r="A983" s="17"/>
    </row>
    <row r="984" spans="1:1" ht="14.25" customHeight="1">
      <c r="A984" s="17"/>
    </row>
    <row r="985" spans="1:1" ht="14.25" customHeight="1">
      <c r="A985" s="17"/>
    </row>
    <row r="986" spans="1:1" ht="14.25" customHeight="1">
      <c r="A986" s="17"/>
    </row>
    <row r="987" spans="1:1" ht="14.25" customHeight="1">
      <c r="A987" s="17"/>
    </row>
    <row r="988" spans="1:1" ht="14.25" customHeight="1">
      <c r="A988" s="17"/>
    </row>
    <row r="989" spans="1:1" ht="14.25" customHeight="1">
      <c r="A989" s="17"/>
    </row>
    <row r="990" spans="1:1" ht="14.25" customHeight="1">
      <c r="A990" s="17"/>
    </row>
    <row r="991" spans="1:1" ht="14.25" customHeight="1">
      <c r="A991" s="17"/>
    </row>
    <row r="992" spans="1:1" ht="14.25" customHeight="1">
      <c r="A992" s="17"/>
    </row>
    <row r="993" spans="1:1" ht="14.25" customHeight="1">
      <c r="A993" s="17"/>
    </row>
    <row r="994" spans="1:1" ht="14.25" customHeight="1">
      <c r="A994" s="17"/>
    </row>
    <row r="995" spans="1:1" ht="14.25" customHeight="1">
      <c r="A995" s="17"/>
    </row>
    <row r="996" spans="1:1" ht="14.25" customHeight="1">
      <c r="A996" s="17"/>
    </row>
    <row r="997" spans="1:1" ht="14.25" customHeight="1">
      <c r="A997" s="17"/>
    </row>
    <row r="998" spans="1:1" ht="14.25" customHeight="1">
      <c r="A998" s="17"/>
    </row>
    <row r="999" spans="1:1" ht="14.25" customHeight="1">
      <c r="A999" s="17"/>
    </row>
    <row r="1000" spans="1:1" ht="14.25" customHeight="1">
      <c r="A1000" s="17"/>
    </row>
  </sheetData>
  <autoFilter ref="A14:J69" xr:uid="{00000000-0001-0000-0200-000000000000}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000"/>
  <sheetViews>
    <sheetView workbookViewId="0"/>
  </sheetViews>
  <sheetFormatPr baseColWidth="10" defaultColWidth="12.625" defaultRowHeight="15" customHeight="1"/>
  <cols>
    <col min="1" max="1" width="6.25" customWidth="1"/>
    <col min="2" max="2" width="31.25" customWidth="1"/>
    <col min="3" max="26" width="10.625" customWidth="1"/>
  </cols>
  <sheetData>
    <row r="1" spans="2:2" ht="14.25" customHeight="1"/>
    <row r="2" spans="2:2" ht="14.25" customHeight="1"/>
    <row r="3" spans="2:2" ht="14.25" customHeight="1"/>
    <row r="4" spans="2:2" ht="14.25" customHeight="1"/>
    <row r="5" spans="2:2" ht="14.25" customHeight="1"/>
    <row r="6" spans="2:2" ht="14.25" customHeight="1"/>
    <row r="7" spans="2:2" ht="14.25" customHeight="1"/>
    <row r="8" spans="2:2" ht="14.25" customHeight="1"/>
    <row r="9" spans="2:2" ht="14.25" customHeight="1"/>
    <row r="10" spans="2:2" ht="14.25" customHeight="1"/>
    <row r="11" spans="2:2" ht="14.25" customHeight="1"/>
    <row r="12" spans="2:2" ht="14.25" customHeight="1">
      <c r="B12" s="2" t="s">
        <v>134</v>
      </c>
    </row>
    <row r="13" spans="2:2" ht="14.25" customHeight="1"/>
    <row r="14" spans="2:2" ht="14.25" customHeight="1">
      <c r="B14" s="25"/>
    </row>
    <row r="15" spans="2:2" ht="14.25" customHeight="1">
      <c r="B15" s="25"/>
    </row>
    <row r="16" spans="2:2" ht="14.25" customHeight="1">
      <c r="B16" s="25"/>
    </row>
    <row r="17" spans="2:2" ht="14.25" customHeight="1">
      <c r="B17" s="25"/>
    </row>
    <row r="18" spans="2:2" ht="14.25" customHeight="1">
      <c r="B18" s="25"/>
    </row>
    <row r="19" spans="2:2" ht="14.25" customHeight="1">
      <c r="B19" s="25"/>
    </row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15.5" customWidth="1"/>
    <col min="2" max="2" width="17.875" customWidth="1"/>
    <col min="3" max="3" width="29.125" customWidth="1"/>
    <col min="4" max="4" width="43.5" customWidth="1"/>
    <col min="5" max="5" width="26.25" customWidth="1"/>
    <col min="6" max="6" width="16" customWidth="1"/>
    <col min="7" max="7" width="21.5" customWidth="1"/>
    <col min="8" max="8" width="30.875" customWidth="1"/>
    <col min="9" max="9" width="36.5" customWidth="1"/>
    <col min="10" max="10" width="36.25" customWidth="1"/>
    <col min="11" max="26" width="10.625" customWidth="1"/>
  </cols>
  <sheetData>
    <row r="1" spans="1:26" ht="14.25" customHeight="1"/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25" customHeight="1">
      <c r="A16" s="29"/>
      <c r="B16" s="30"/>
      <c r="C16" s="30"/>
      <c r="D16" s="30"/>
      <c r="E16" s="30"/>
      <c r="F16" s="31"/>
      <c r="G16" s="30"/>
      <c r="H16" s="30"/>
      <c r="I16" s="30"/>
      <c r="J16" s="30"/>
    </row>
    <row r="17" spans="1:10" ht="14.25" customHeight="1">
      <c r="A17" s="29"/>
      <c r="B17" s="30"/>
      <c r="C17" s="30"/>
      <c r="D17" s="30"/>
      <c r="E17" s="30"/>
      <c r="F17" s="31"/>
      <c r="G17" s="30"/>
      <c r="H17" s="30"/>
      <c r="I17" s="30"/>
      <c r="J17" s="30"/>
    </row>
    <row r="18" spans="1:10" ht="64.5" customHeight="1">
      <c r="A18" s="32" t="s">
        <v>14</v>
      </c>
      <c r="B18" s="33" t="s">
        <v>15</v>
      </c>
      <c r="C18" s="33" t="s">
        <v>16</v>
      </c>
      <c r="D18" s="33" t="s">
        <v>17</v>
      </c>
      <c r="E18" s="33" t="s">
        <v>18</v>
      </c>
      <c r="F18" s="33" t="s">
        <v>19</v>
      </c>
      <c r="G18" s="33" t="s">
        <v>20</v>
      </c>
      <c r="H18" s="33" t="s">
        <v>21</v>
      </c>
      <c r="I18" s="33" t="s">
        <v>22</v>
      </c>
      <c r="J18" s="33" t="s">
        <v>23</v>
      </c>
    </row>
    <row r="19" spans="1:10" ht="14.25" customHeight="1">
      <c r="A19" s="34">
        <v>45865</v>
      </c>
      <c r="B19" s="35" t="s">
        <v>24</v>
      </c>
      <c r="C19" s="35" t="s">
        <v>25</v>
      </c>
      <c r="D19" s="35" t="s">
        <v>26</v>
      </c>
      <c r="E19" s="35" t="s">
        <v>27</v>
      </c>
      <c r="F19" s="36">
        <v>4709.33</v>
      </c>
      <c r="G19" s="35" t="s">
        <v>28</v>
      </c>
      <c r="H19" s="35" t="s">
        <v>29</v>
      </c>
      <c r="I19" s="35" t="s">
        <v>30</v>
      </c>
      <c r="J19" s="35" t="s">
        <v>31</v>
      </c>
    </row>
    <row r="20" spans="1:10" ht="14.25" customHeight="1">
      <c r="A20" s="34">
        <v>45850</v>
      </c>
      <c r="B20" s="35" t="s">
        <v>24</v>
      </c>
      <c r="C20" s="35" t="s">
        <v>25</v>
      </c>
      <c r="D20" s="35" t="s">
        <v>26</v>
      </c>
      <c r="E20" s="35" t="s">
        <v>27</v>
      </c>
      <c r="F20" s="36">
        <v>8828.7900000000009</v>
      </c>
      <c r="G20" s="35" t="s">
        <v>32</v>
      </c>
      <c r="H20" s="35" t="s">
        <v>29</v>
      </c>
      <c r="I20" s="35" t="s">
        <v>30</v>
      </c>
      <c r="J20" s="35" t="s">
        <v>31</v>
      </c>
    </row>
    <row r="21" spans="1:10" ht="14.25" customHeight="1">
      <c r="A21" s="34">
        <v>45881</v>
      </c>
      <c r="B21" s="35" t="s">
        <v>24</v>
      </c>
      <c r="C21" s="35" t="s">
        <v>25</v>
      </c>
      <c r="D21" s="35" t="s">
        <v>26</v>
      </c>
      <c r="E21" s="35" t="s">
        <v>27</v>
      </c>
      <c r="F21" s="36">
        <v>12365.99</v>
      </c>
      <c r="G21" s="35" t="s">
        <v>28</v>
      </c>
      <c r="H21" s="35" t="s">
        <v>29</v>
      </c>
      <c r="I21" s="35" t="s">
        <v>30</v>
      </c>
      <c r="J21" s="35" t="s">
        <v>31</v>
      </c>
    </row>
    <row r="22" spans="1:10" ht="14.25" customHeight="1">
      <c r="A22" s="34">
        <v>45881</v>
      </c>
      <c r="B22" s="35" t="s">
        <v>24</v>
      </c>
      <c r="C22" s="35" t="s">
        <v>25</v>
      </c>
      <c r="D22" s="35" t="s">
        <v>26</v>
      </c>
      <c r="E22" s="35" t="s">
        <v>27</v>
      </c>
      <c r="F22" s="36">
        <v>12960.63</v>
      </c>
      <c r="G22" s="35" t="s">
        <v>33</v>
      </c>
      <c r="H22" s="35" t="s">
        <v>29</v>
      </c>
      <c r="I22" s="35" t="s">
        <v>30</v>
      </c>
      <c r="J22" s="35" t="s">
        <v>31</v>
      </c>
    </row>
    <row r="23" spans="1:10" ht="14.25" customHeight="1">
      <c r="A23" s="34">
        <v>45886</v>
      </c>
      <c r="B23" s="35" t="s">
        <v>24</v>
      </c>
      <c r="C23" s="35" t="s">
        <v>2</v>
      </c>
      <c r="D23" s="35" t="s">
        <v>34</v>
      </c>
      <c r="E23" s="35" t="s">
        <v>27</v>
      </c>
      <c r="F23" s="36">
        <v>1215.6300000000001</v>
      </c>
      <c r="G23" s="35" t="s">
        <v>35</v>
      </c>
      <c r="H23" s="35" t="s">
        <v>29</v>
      </c>
      <c r="I23" s="35" t="s">
        <v>30</v>
      </c>
      <c r="J23" s="35" t="s">
        <v>36</v>
      </c>
    </row>
    <row r="24" spans="1:10" ht="14.25" customHeight="1">
      <c r="A24" s="34">
        <v>45821</v>
      </c>
      <c r="B24" s="35" t="s">
        <v>24</v>
      </c>
      <c r="C24" s="35" t="s">
        <v>2</v>
      </c>
      <c r="D24" s="35" t="s">
        <v>34</v>
      </c>
      <c r="E24" s="35" t="s">
        <v>27</v>
      </c>
      <c r="F24" s="36">
        <v>6628.01</v>
      </c>
      <c r="G24" s="35" t="s">
        <v>33</v>
      </c>
      <c r="H24" s="35" t="s">
        <v>29</v>
      </c>
      <c r="I24" s="35" t="s">
        <v>30</v>
      </c>
      <c r="J24" s="35" t="s">
        <v>36</v>
      </c>
    </row>
    <row r="25" spans="1:10" ht="14.25" customHeight="1">
      <c r="A25" s="34">
        <v>45841</v>
      </c>
      <c r="B25" s="35" t="s">
        <v>24</v>
      </c>
      <c r="C25" s="35" t="s">
        <v>2</v>
      </c>
      <c r="D25" s="35" t="s">
        <v>34</v>
      </c>
      <c r="E25" s="35" t="s">
        <v>27</v>
      </c>
      <c r="F25" s="36">
        <v>7141.86</v>
      </c>
      <c r="G25" s="35" t="s">
        <v>32</v>
      </c>
      <c r="H25" s="35" t="s">
        <v>29</v>
      </c>
      <c r="I25" s="35" t="s">
        <v>30</v>
      </c>
      <c r="J25" s="35" t="s">
        <v>36</v>
      </c>
    </row>
    <row r="26" spans="1:10" ht="14.25" customHeight="1">
      <c r="A26" s="34">
        <v>45822</v>
      </c>
      <c r="B26" s="35" t="s">
        <v>24</v>
      </c>
      <c r="C26" s="35" t="s">
        <v>2</v>
      </c>
      <c r="D26" s="35" t="s">
        <v>34</v>
      </c>
      <c r="E26" s="35" t="s">
        <v>27</v>
      </c>
      <c r="F26" s="36">
        <v>8616.33</v>
      </c>
      <c r="G26" s="35" t="s">
        <v>32</v>
      </c>
      <c r="H26" s="35" t="s">
        <v>29</v>
      </c>
      <c r="I26" s="35" t="s">
        <v>30</v>
      </c>
      <c r="J26" s="35" t="s">
        <v>36</v>
      </c>
    </row>
    <row r="27" spans="1:10" ht="14.25" customHeight="1">
      <c r="A27" s="34">
        <v>45898</v>
      </c>
      <c r="B27" s="35" t="s">
        <v>24</v>
      </c>
      <c r="C27" s="35" t="s">
        <v>2</v>
      </c>
      <c r="D27" s="35" t="s">
        <v>34</v>
      </c>
      <c r="E27" s="35" t="s">
        <v>27</v>
      </c>
      <c r="F27" s="36">
        <v>10475.23</v>
      </c>
      <c r="G27" s="35" t="s">
        <v>35</v>
      </c>
      <c r="H27" s="35" t="s">
        <v>29</v>
      </c>
      <c r="I27" s="35" t="s">
        <v>30</v>
      </c>
      <c r="J27" s="35" t="s">
        <v>36</v>
      </c>
    </row>
    <row r="28" spans="1:10" ht="14.25" customHeight="1">
      <c r="A28" s="34">
        <v>45880</v>
      </c>
      <c r="B28" s="35" t="s">
        <v>24</v>
      </c>
      <c r="C28" s="35" t="s">
        <v>2</v>
      </c>
      <c r="D28" s="35" t="s">
        <v>34</v>
      </c>
      <c r="E28" s="35" t="s">
        <v>27</v>
      </c>
      <c r="F28" s="36">
        <v>12604.84</v>
      </c>
      <c r="G28" s="35" t="s">
        <v>35</v>
      </c>
      <c r="H28" s="35" t="s">
        <v>29</v>
      </c>
      <c r="I28" s="35" t="s">
        <v>30</v>
      </c>
      <c r="J28" s="35" t="s">
        <v>36</v>
      </c>
    </row>
    <row r="29" spans="1:10" ht="14.25" customHeight="1">
      <c r="A29" s="34">
        <v>45890</v>
      </c>
      <c r="B29" s="35" t="s">
        <v>24</v>
      </c>
      <c r="C29" s="35" t="s">
        <v>2</v>
      </c>
      <c r="D29" s="35" t="s">
        <v>34</v>
      </c>
      <c r="E29" s="35" t="s">
        <v>27</v>
      </c>
      <c r="F29" s="36">
        <v>14118.44</v>
      </c>
      <c r="G29" s="35" t="s">
        <v>32</v>
      </c>
      <c r="H29" s="35" t="s">
        <v>29</v>
      </c>
      <c r="I29" s="35" t="s">
        <v>30</v>
      </c>
      <c r="J29" s="35" t="s">
        <v>36</v>
      </c>
    </row>
    <row r="30" spans="1:10" ht="14.25" customHeight="1">
      <c r="A30" s="34">
        <v>45812</v>
      </c>
      <c r="B30" s="35" t="s">
        <v>24</v>
      </c>
      <c r="C30" s="35" t="s">
        <v>4</v>
      </c>
      <c r="D30" s="35" t="s">
        <v>37</v>
      </c>
      <c r="E30" s="35" t="s">
        <v>27</v>
      </c>
      <c r="F30" s="36">
        <v>7114.39</v>
      </c>
      <c r="G30" s="35" t="s">
        <v>33</v>
      </c>
      <c r="H30" s="35" t="s">
        <v>29</v>
      </c>
      <c r="I30" s="35" t="s">
        <v>38</v>
      </c>
      <c r="J30" s="35" t="s">
        <v>36</v>
      </c>
    </row>
    <row r="31" spans="1:10" ht="14.25" customHeight="1">
      <c r="A31" s="34">
        <v>45866</v>
      </c>
      <c r="B31" s="35" t="s">
        <v>24</v>
      </c>
      <c r="C31" s="35" t="s">
        <v>4</v>
      </c>
      <c r="D31" s="35" t="s">
        <v>37</v>
      </c>
      <c r="E31" s="35" t="s">
        <v>27</v>
      </c>
      <c r="F31" s="36">
        <v>7653.06</v>
      </c>
      <c r="G31" s="35" t="s">
        <v>32</v>
      </c>
      <c r="H31" s="35" t="s">
        <v>29</v>
      </c>
      <c r="I31" s="35" t="s">
        <v>38</v>
      </c>
      <c r="J31" s="35" t="s">
        <v>36</v>
      </c>
    </row>
    <row r="32" spans="1:10" ht="14.25" customHeight="1">
      <c r="A32" s="34">
        <v>45874</v>
      </c>
      <c r="B32" s="35" t="s">
        <v>24</v>
      </c>
      <c r="C32" s="35" t="s">
        <v>4</v>
      </c>
      <c r="D32" s="35" t="s">
        <v>37</v>
      </c>
      <c r="E32" s="35" t="s">
        <v>27</v>
      </c>
      <c r="F32" s="36">
        <v>8414.59</v>
      </c>
      <c r="G32" s="35" t="s">
        <v>32</v>
      </c>
      <c r="H32" s="35" t="s">
        <v>29</v>
      </c>
      <c r="I32" s="35" t="s">
        <v>38</v>
      </c>
      <c r="J32" s="35" t="s">
        <v>36</v>
      </c>
    </row>
    <row r="33" spans="1:10" ht="14.25" customHeight="1">
      <c r="A33" s="34">
        <v>45821</v>
      </c>
      <c r="B33" s="35" t="s">
        <v>24</v>
      </c>
      <c r="C33" s="35" t="s">
        <v>6</v>
      </c>
      <c r="D33" s="35" t="s">
        <v>39</v>
      </c>
      <c r="E33" s="35" t="s">
        <v>27</v>
      </c>
      <c r="F33" s="36">
        <v>1530.69</v>
      </c>
      <c r="G33" s="35" t="s">
        <v>28</v>
      </c>
      <c r="H33" s="35" t="s">
        <v>29</v>
      </c>
      <c r="I33" s="35" t="s">
        <v>30</v>
      </c>
      <c r="J33" s="35" t="s">
        <v>31</v>
      </c>
    </row>
    <row r="34" spans="1:10" ht="14.25" customHeight="1">
      <c r="A34" s="34">
        <v>45854</v>
      </c>
      <c r="B34" s="35" t="s">
        <v>24</v>
      </c>
      <c r="C34" s="35" t="s">
        <v>6</v>
      </c>
      <c r="D34" s="35" t="s">
        <v>39</v>
      </c>
      <c r="E34" s="35" t="s">
        <v>27</v>
      </c>
      <c r="F34" s="36">
        <v>2635.97</v>
      </c>
      <c r="G34" s="35" t="s">
        <v>32</v>
      </c>
      <c r="H34" s="35" t="s">
        <v>29</v>
      </c>
      <c r="I34" s="35" t="s">
        <v>30</v>
      </c>
      <c r="J34" s="35" t="s">
        <v>31</v>
      </c>
    </row>
    <row r="35" spans="1:10" ht="14.25" customHeight="1">
      <c r="A35" s="34">
        <v>45838</v>
      </c>
      <c r="B35" s="35" t="s">
        <v>24</v>
      </c>
      <c r="C35" s="35" t="s">
        <v>6</v>
      </c>
      <c r="D35" s="35" t="s">
        <v>39</v>
      </c>
      <c r="E35" s="35" t="s">
        <v>27</v>
      </c>
      <c r="F35" s="36">
        <v>3198.32</v>
      </c>
      <c r="G35" s="35" t="s">
        <v>28</v>
      </c>
      <c r="H35" s="35" t="s">
        <v>29</v>
      </c>
      <c r="I35" s="35" t="s">
        <v>30</v>
      </c>
      <c r="J35" s="35" t="s">
        <v>31</v>
      </c>
    </row>
    <row r="36" spans="1:10" ht="14.25" customHeight="1">
      <c r="A36" s="34">
        <v>45887</v>
      </c>
      <c r="B36" s="35" t="s">
        <v>24</v>
      </c>
      <c r="C36" s="35" t="s">
        <v>6</v>
      </c>
      <c r="D36" s="35" t="s">
        <v>39</v>
      </c>
      <c r="E36" s="35" t="s">
        <v>27</v>
      </c>
      <c r="F36" s="36">
        <v>4005.52</v>
      </c>
      <c r="G36" s="35" t="s">
        <v>35</v>
      </c>
      <c r="H36" s="35" t="s">
        <v>29</v>
      </c>
      <c r="I36" s="35" t="s">
        <v>30</v>
      </c>
      <c r="J36" s="35" t="s">
        <v>31</v>
      </c>
    </row>
    <row r="37" spans="1:10" ht="14.25" customHeight="1">
      <c r="A37" s="34">
        <v>45882</v>
      </c>
      <c r="B37" s="35" t="s">
        <v>24</v>
      </c>
      <c r="C37" s="35" t="s">
        <v>6</v>
      </c>
      <c r="D37" s="35" t="s">
        <v>39</v>
      </c>
      <c r="E37" s="35" t="s">
        <v>27</v>
      </c>
      <c r="F37" s="36">
        <v>6355.85</v>
      </c>
      <c r="G37" s="35" t="s">
        <v>33</v>
      </c>
      <c r="H37" s="35" t="s">
        <v>29</v>
      </c>
      <c r="I37" s="35" t="s">
        <v>30</v>
      </c>
      <c r="J37" s="35" t="s">
        <v>31</v>
      </c>
    </row>
    <row r="38" spans="1:10" ht="14.25" customHeight="1">
      <c r="A38" s="34">
        <v>45870</v>
      </c>
      <c r="B38" s="35" t="s">
        <v>24</v>
      </c>
      <c r="C38" s="35" t="s">
        <v>6</v>
      </c>
      <c r="D38" s="35" t="s">
        <v>39</v>
      </c>
      <c r="E38" s="35" t="s">
        <v>27</v>
      </c>
      <c r="F38" s="36">
        <v>9175.4599999999991</v>
      </c>
      <c r="G38" s="35" t="s">
        <v>28</v>
      </c>
      <c r="H38" s="35" t="s">
        <v>29</v>
      </c>
      <c r="I38" s="35" t="s">
        <v>30</v>
      </c>
      <c r="J38" s="35" t="s">
        <v>31</v>
      </c>
    </row>
    <row r="39" spans="1:10" ht="14.25" customHeight="1">
      <c r="A39" s="34">
        <v>45890</v>
      </c>
      <c r="B39" s="35" t="s">
        <v>24</v>
      </c>
      <c r="C39" s="35" t="s">
        <v>6</v>
      </c>
      <c r="D39" s="35" t="s">
        <v>39</v>
      </c>
      <c r="E39" s="35" t="s">
        <v>27</v>
      </c>
      <c r="F39" s="36">
        <v>11125.31</v>
      </c>
      <c r="G39" s="35" t="s">
        <v>32</v>
      </c>
      <c r="H39" s="35" t="s">
        <v>29</v>
      </c>
      <c r="I39" s="35" t="s">
        <v>30</v>
      </c>
      <c r="J39" s="35" t="s">
        <v>31</v>
      </c>
    </row>
    <row r="40" spans="1:10" ht="14.25" customHeight="1">
      <c r="A40" s="34">
        <v>45884</v>
      </c>
      <c r="B40" s="35" t="s">
        <v>24</v>
      </c>
      <c r="C40" s="35" t="s">
        <v>8</v>
      </c>
      <c r="D40" s="35" t="s">
        <v>40</v>
      </c>
      <c r="E40" s="35" t="s">
        <v>27</v>
      </c>
      <c r="F40" s="36">
        <v>716.49</v>
      </c>
      <c r="G40" s="35" t="s">
        <v>33</v>
      </c>
      <c r="H40" s="35" t="s">
        <v>41</v>
      </c>
      <c r="I40" s="35" t="s">
        <v>38</v>
      </c>
      <c r="J40" s="35" t="s">
        <v>36</v>
      </c>
    </row>
    <row r="41" spans="1:10" ht="14.25" customHeight="1">
      <c r="A41" s="34">
        <v>45884</v>
      </c>
      <c r="B41" s="35" t="s">
        <v>24</v>
      </c>
      <c r="C41" s="35" t="s">
        <v>8</v>
      </c>
      <c r="D41" s="35" t="s">
        <v>40</v>
      </c>
      <c r="E41" s="35" t="s">
        <v>27</v>
      </c>
      <c r="F41" s="36">
        <v>4151.7</v>
      </c>
      <c r="G41" s="35" t="s">
        <v>28</v>
      </c>
      <c r="H41" s="35" t="s">
        <v>41</v>
      </c>
      <c r="I41" s="35" t="s">
        <v>38</v>
      </c>
      <c r="J41" s="35" t="s">
        <v>36</v>
      </c>
    </row>
    <row r="42" spans="1:10" ht="14.25" customHeight="1">
      <c r="A42" s="34">
        <v>45874</v>
      </c>
      <c r="B42" s="35" t="s">
        <v>24</v>
      </c>
      <c r="C42" s="35" t="s">
        <v>8</v>
      </c>
      <c r="D42" s="35" t="s">
        <v>40</v>
      </c>
      <c r="E42" s="35" t="s">
        <v>27</v>
      </c>
      <c r="F42" s="36">
        <v>9805.7199999999993</v>
      </c>
      <c r="G42" s="35" t="s">
        <v>33</v>
      </c>
      <c r="H42" s="35" t="s">
        <v>41</v>
      </c>
      <c r="I42" s="35" t="s">
        <v>38</v>
      </c>
      <c r="J42" s="35" t="s">
        <v>36</v>
      </c>
    </row>
    <row r="43" spans="1:10" ht="14.25" customHeight="1">
      <c r="A43" s="34">
        <v>45868</v>
      </c>
      <c r="B43" s="35" t="s">
        <v>24</v>
      </c>
      <c r="C43" s="35" t="s">
        <v>8</v>
      </c>
      <c r="D43" s="35" t="s">
        <v>40</v>
      </c>
      <c r="E43" s="35" t="s">
        <v>27</v>
      </c>
      <c r="F43" s="36">
        <v>14234.44</v>
      </c>
      <c r="G43" s="35" t="s">
        <v>28</v>
      </c>
      <c r="H43" s="35" t="s">
        <v>41</v>
      </c>
      <c r="I43" s="35" t="s">
        <v>38</v>
      </c>
      <c r="J43" s="35" t="s">
        <v>36</v>
      </c>
    </row>
    <row r="44" spans="1:10" ht="14.25" customHeight="1">
      <c r="A44" s="34">
        <v>45824</v>
      </c>
      <c r="B44" s="35" t="s">
        <v>24</v>
      </c>
      <c r="C44" s="35" t="s">
        <v>8</v>
      </c>
      <c r="D44" s="35" t="s">
        <v>40</v>
      </c>
      <c r="E44" s="35" t="s">
        <v>27</v>
      </c>
      <c r="F44" s="36" t="s">
        <v>42</v>
      </c>
      <c r="G44" s="35" t="s">
        <v>33</v>
      </c>
      <c r="H44" s="35" t="s">
        <v>41</v>
      </c>
      <c r="I44" s="35" t="s">
        <v>38</v>
      </c>
      <c r="J44" s="35" t="s">
        <v>36</v>
      </c>
    </row>
    <row r="45" spans="1:10" ht="14.25" customHeight="1">
      <c r="A45" s="34">
        <v>45885</v>
      </c>
      <c r="B45" s="35" t="s">
        <v>24</v>
      </c>
      <c r="C45" s="35" t="s">
        <v>10</v>
      </c>
      <c r="D45" s="35" t="s">
        <v>43</v>
      </c>
      <c r="E45" s="35" t="s">
        <v>27</v>
      </c>
      <c r="F45" s="36">
        <v>3466.83</v>
      </c>
      <c r="G45" s="35" t="s">
        <v>35</v>
      </c>
      <c r="H45" s="35" t="s">
        <v>29</v>
      </c>
      <c r="I45" s="35" t="s">
        <v>30</v>
      </c>
      <c r="J45" s="35" t="s">
        <v>31</v>
      </c>
    </row>
    <row r="46" spans="1:10" ht="14.25" customHeight="1">
      <c r="A46" s="34">
        <v>45884</v>
      </c>
      <c r="B46" s="35" t="s">
        <v>24</v>
      </c>
      <c r="C46" s="35" t="s">
        <v>10</v>
      </c>
      <c r="D46" s="35" t="s">
        <v>43</v>
      </c>
      <c r="E46" s="35" t="s">
        <v>27</v>
      </c>
      <c r="F46" s="36">
        <v>4859.7299999999996</v>
      </c>
      <c r="G46" s="35" t="s">
        <v>28</v>
      </c>
      <c r="H46" s="35" t="s">
        <v>29</v>
      </c>
      <c r="I46" s="35" t="s">
        <v>30</v>
      </c>
      <c r="J46" s="35" t="s">
        <v>31</v>
      </c>
    </row>
    <row r="47" spans="1:10" ht="14.25" customHeight="1">
      <c r="A47" s="34">
        <v>45865</v>
      </c>
      <c r="B47" s="35" t="s">
        <v>24</v>
      </c>
      <c r="C47" s="35" t="s">
        <v>10</v>
      </c>
      <c r="D47" s="35" t="s">
        <v>43</v>
      </c>
      <c r="E47" s="35" t="s">
        <v>27</v>
      </c>
      <c r="F47" s="36">
        <v>5505.91</v>
      </c>
      <c r="G47" s="35" t="s">
        <v>32</v>
      </c>
      <c r="H47" s="35" t="s">
        <v>29</v>
      </c>
      <c r="I47" s="35" t="s">
        <v>30</v>
      </c>
      <c r="J47" s="35" t="s">
        <v>31</v>
      </c>
    </row>
    <row r="48" spans="1:10" ht="14.25" customHeight="1">
      <c r="A48" s="34">
        <v>45853</v>
      </c>
      <c r="B48" s="35" t="s">
        <v>24</v>
      </c>
      <c r="C48" s="35" t="s">
        <v>10</v>
      </c>
      <c r="D48" s="35" t="s">
        <v>43</v>
      </c>
      <c r="E48" s="35" t="s">
        <v>27</v>
      </c>
      <c r="F48" s="36">
        <v>9420.74</v>
      </c>
      <c r="G48" s="35" t="s">
        <v>28</v>
      </c>
      <c r="H48" s="35" t="s">
        <v>29</v>
      </c>
      <c r="I48" s="35" t="s">
        <v>30</v>
      </c>
      <c r="J48" s="35" t="s">
        <v>31</v>
      </c>
    </row>
    <row r="49" spans="1:10" ht="14.25" customHeight="1">
      <c r="A49" s="34">
        <v>45810</v>
      </c>
      <c r="B49" s="35" t="s">
        <v>49</v>
      </c>
      <c r="C49" s="35" t="s">
        <v>50</v>
      </c>
      <c r="D49" s="35" t="s">
        <v>51</v>
      </c>
      <c r="E49" s="35" t="s">
        <v>52</v>
      </c>
      <c r="F49" s="36">
        <v>5110.99</v>
      </c>
      <c r="G49" s="35" t="s">
        <v>28</v>
      </c>
      <c r="H49" s="35" t="s">
        <v>41</v>
      </c>
      <c r="I49" s="35" t="s">
        <v>53</v>
      </c>
      <c r="J49" s="35" t="s">
        <v>54</v>
      </c>
    </row>
    <row r="50" spans="1:10" ht="14.25" customHeight="1">
      <c r="A50" s="34">
        <v>45844</v>
      </c>
      <c r="B50" s="35" t="s">
        <v>49</v>
      </c>
      <c r="C50" s="35" t="s">
        <v>55</v>
      </c>
      <c r="D50" s="35" t="s">
        <v>56</v>
      </c>
      <c r="E50" s="35" t="s">
        <v>52</v>
      </c>
      <c r="F50" s="36">
        <v>6511.16</v>
      </c>
      <c r="G50" s="35" t="s">
        <v>57</v>
      </c>
      <c r="H50" s="35" t="s">
        <v>29</v>
      </c>
      <c r="I50" s="35" t="s">
        <v>38</v>
      </c>
      <c r="J50" s="35" t="s">
        <v>54</v>
      </c>
    </row>
    <row r="51" spans="1:10" ht="14.25" customHeight="1">
      <c r="A51" s="34">
        <v>45845</v>
      </c>
      <c r="B51" s="35" t="s">
        <v>58</v>
      </c>
      <c r="C51" s="35" t="s">
        <v>59</v>
      </c>
      <c r="D51" s="35" t="s">
        <v>60</v>
      </c>
      <c r="E51" s="35" t="s">
        <v>52</v>
      </c>
      <c r="F51" s="36">
        <v>871</v>
      </c>
      <c r="G51" s="35" t="s">
        <v>57</v>
      </c>
      <c r="H51" s="35" t="s">
        <v>41</v>
      </c>
      <c r="I51" s="35" t="s">
        <v>38</v>
      </c>
      <c r="J51" s="35" t="s">
        <v>54</v>
      </c>
    </row>
    <row r="52" spans="1:10" ht="14.25" customHeight="1">
      <c r="A52" s="34">
        <v>45824</v>
      </c>
      <c r="B52" s="35" t="s">
        <v>61</v>
      </c>
      <c r="C52" s="35" t="s">
        <v>62</v>
      </c>
      <c r="D52" s="35" t="s">
        <v>63</v>
      </c>
      <c r="E52" s="35" t="s">
        <v>52</v>
      </c>
      <c r="F52" s="36">
        <v>5862.52</v>
      </c>
      <c r="G52" s="35" t="s">
        <v>32</v>
      </c>
      <c r="H52" s="35" t="s">
        <v>41</v>
      </c>
      <c r="I52" s="35" t="s">
        <v>38</v>
      </c>
      <c r="J52" s="35" t="s">
        <v>36</v>
      </c>
    </row>
    <row r="53" spans="1:10" ht="14.25" customHeight="1">
      <c r="A53" s="34">
        <v>45889</v>
      </c>
      <c r="B53" s="35" t="s">
        <v>61</v>
      </c>
      <c r="C53" s="35" t="s">
        <v>64</v>
      </c>
      <c r="D53" s="35" t="s">
        <v>65</v>
      </c>
      <c r="E53" s="35" t="s">
        <v>52</v>
      </c>
      <c r="F53" s="36">
        <v>3671.38</v>
      </c>
      <c r="G53" s="35" t="s">
        <v>32</v>
      </c>
      <c r="H53" s="35" t="s">
        <v>41</v>
      </c>
      <c r="I53" s="35" t="s">
        <v>53</v>
      </c>
      <c r="J53" s="35" t="s">
        <v>36</v>
      </c>
    </row>
    <row r="54" spans="1:10" ht="14.25" customHeight="1">
      <c r="A54" s="34">
        <v>45870</v>
      </c>
      <c r="B54" s="35" t="s">
        <v>66</v>
      </c>
      <c r="C54" s="35" t="s">
        <v>67</v>
      </c>
      <c r="D54" s="35" t="s">
        <v>68</v>
      </c>
      <c r="E54" s="35" t="s">
        <v>52</v>
      </c>
      <c r="F54" s="36">
        <v>7777.27</v>
      </c>
      <c r="G54" s="35" t="s">
        <v>69</v>
      </c>
      <c r="H54" s="35" t="s">
        <v>29</v>
      </c>
      <c r="I54" s="35" t="s">
        <v>38</v>
      </c>
      <c r="J54" s="35" t="s">
        <v>36</v>
      </c>
    </row>
    <row r="55" spans="1:10" ht="14.25" customHeight="1">
      <c r="A55" s="34">
        <v>45848</v>
      </c>
      <c r="B55" s="35" t="s">
        <v>66</v>
      </c>
      <c r="C55" s="35" t="s">
        <v>67</v>
      </c>
      <c r="D55" s="35" t="s">
        <v>68</v>
      </c>
      <c r="E55" s="35" t="s">
        <v>52</v>
      </c>
      <c r="F55" s="36">
        <v>3365.07</v>
      </c>
      <c r="G55" s="35" t="s">
        <v>69</v>
      </c>
      <c r="H55" s="35" t="s">
        <v>41</v>
      </c>
      <c r="I55" s="35" t="s">
        <v>38</v>
      </c>
      <c r="J55" s="35" t="s">
        <v>54</v>
      </c>
    </row>
    <row r="56" spans="1:10" ht="14.25" customHeight="1">
      <c r="A56" s="34">
        <v>45832</v>
      </c>
      <c r="B56" s="35" t="s">
        <v>66</v>
      </c>
      <c r="C56" s="35" t="s">
        <v>67</v>
      </c>
      <c r="D56" s="35" t="s">
        <v>68</v>
      </c>
      <c r="E56" s="35" t="s">
        <v>52</v>
      </c>
      <c r="F56" s="36">
        <v>2736.75</v>
      </c>
      <c r="G56" s="35" t="s">
        <v>69</v>
      </c>
      <c r="H56" s="35" t="s">
        <v>29</v>
      </c>
      <c r="I56" s="35" t="s">
        <v>53</v>
      </c>
      <c r="J56" s="35" t="s">
        <v>36</v>
      </c>
    </row>
    <row r="57" spans="1:10" ht="14.25" customHeight="1">
      <c r="A57" s="34">
        <v>45838</v>
      </c>
      <c r="B57" s="35" t="s">
        <v>49</v>
      </c>
      <c r="C57" s="35" t="s">
        <v>70</v>
      </c>
      <c r="D57" s="35" t="s">
        <v>71</v>
      </c>
      <c r="E57" s="35" t="s">
        <v>52</v>
      </c>
      <c r="F57" s="36">
        <v>2423.87</v>
      </c>
      <c r="G57" s="35" t="s">
        <v>57</v>
      </c>
      <c r="H57" s="35" t="s">
        <v>41</v>
      </c>
      <c r="I57" s="35" t="s">
        <v>38</v>
      </c>
      <c r="J57" s="35" t="s">
        <v>36</v>
      </c>
    </row>
    <row r="58" spans="1:10" ht="14.25" customHeight="1">
      <c r="A58" s="34">
        <v>45813</v>
      </c>
      <c r="B58" s="35" t="s">
        <v>72</v>
      </c>
      <c r="C58" s="35" t="s">
        <v>73</v>
      </c>
      <c r="D58" s="35" t="s">
        <v>74</v>
      </c>
      <c r="E58" s="35" t="s">
        <v>52</v>
      </c>
      <c r="F58" s="36">
        <v>5537.13</v>
      </c>
      <c r="G58" s="35" t="s">
        <v>57</v>
      </c>
      <c r="H58" s="35" t="s">
        <v>41</v>
      </c>
      <c r="I58" s="35" t="s">
        <v>38</v>
      </c>
      <c r="J58" s="35" t="s">
        <v>54</v>
      </c>
    </row>
    <row r="59" spans="1:10" ht="14.25" customHeight="1">
      <c r="A59" s="34">
        <v>45891</v>
      </c>
      <c r="B59" s="35" t="s">
        <v>75</v>
      </c>
      <c r="C59" s="35" t="s">
        <v>76</v>
      </c>
      <c r="D59" s="35" t="s">
        <v>77</v>
      </c>
      <c r="E59" s="35" t="s">
        <v>52</v>
      </c>
      <c r="F59" s="36">
        <v>2393.54</v>
      </c>
      <c r="G59" s="35" t="s">
        <v>32</v>
      </c>
      <c r="H59" s="35" t="s">
        <v>29</v>
      </c>
      <c r="I59" s="35" t="s">
        <v>38</v>
      </c>
      <c r="J59" s="35" t="s">
        <v>36</v>
      </c>
    </row>
    <row r="60" spans="1:10" ht="14.25" customHeight="1">
      <c r="A60" s="34">
        <v>45866</v>
      </c>
      <c r="B60" s="35" t="s">
        <v>66</v>
      </c>
      <c r="C60" s="35" t="s">
        <v>78</v>
      </c>
      <c r="D60" s="35" t="s">
        <v>79</v>
      </c>
      <c r="E60" s="35" t="s">
        <v>52</v>
      </c>
      <c r="F60" s="36">
        <v>3889.13</v>
      </c>
      <c r="G60" s="35" t="s">
        <v>69</v>
      </c>
      <c r="H60" s="35" t="s">
        <v>29</v>
      </c>
      <c r="I60" s="35" t="s">
        <v>38</v>
      </c>
      <c r="J60" s="35" t="s">
        <v>36</v>
      </c>
    </row>
    <row r="61" spans="1:10" ht="14.25" customHeight="1">
      <c r="A61" s="34">
        <v>45875</v>
      </c>
      <c r="B61" s="35" t="s">
        <v>58</v>
      </c>
      <c r="C61" s="35" t="s">
        <v>59</v>
      </c>
      <c r="D61" s="35" t="s">
        <v>60</v>
      </c>
      <c r="E61" s="35" t="s">
        <v>52</v>
      </c>
      <c r="F61" s="36">
        <v>2759.67</v>
      </c>
      <c r="G61" s="35" t="s">
        <v>32</v>
      </c>
      <c r="H61" s="35" t="s">
        <v>41</v>
      </c>
      <c r="I61" s="35" t="s">
        <v>53</v>
      </c>
      <c r="J61" s="35" t="s">
        <v>36</v>
      </c>
    </row>
    <row r="62" spans="1:10" ht="14.25" customHeight="1">
      <c r="A62" s="34">
        <v>45883</v>
      </c>
      <c r="B62" s="35" t="s">
        <v>66</v>
      </c>
      <c r="C62" s="35" t="s">
        <v>78</v>
      </c>
      <c r="D62" s="35" t="s">
        <v>79</v>
      </c>
      <c r="E62" s="35" t="s">
        <v>52</v>
      </c>
      <c r="F62" s="36">
        <v>1514.39</v>
      </c>
      <c r="G62" s="35" t="s">
        <v>32</v>
      </c>
      <c r="H62" s="35" t="s">
        <v>29</v>
      </c>
      <c r="I62" s="35" t="s">
        <v>38</v>
      </c>
      <c r="J62" s="35" t="s">
        <v>36</v>
      </c>
    </row>
    <row r="63" spans="1:10" ht="14.25" customHeight="1">
      <c r="A63" s="34">
        <v>45899</v>
      </c>
      <c r="B63" s="35" t="s">
        <v>61</v>
      </c>
      <c r="C63" s="35" t="s">
        <v>64</v>
      </c>
      <c r="D63" s="35" t="s">
        <v>65</v>
      </c>
      <c r="E63" s="35" t="s">
        <v>52</v>
      </c>
      <c r="F63" s="36">
        <v>1202.17</v>
      </c>
      <c r="G63" s="35" t="s">
        <v>28</v>
      </c>
      <c r="H63" s="35" t="s">
        <v>29</v>
      </c>
      <c r="I63" s="35" t="s">
        <v>38</v>
      </c>
      <c r="J63" s="35" t="s">
        <v>54</v>
      </c>
    </row>
    <row r="64" spans="1:10" ht="14.25" customHeight="1">
      <c r="A64" s="34">
        <v>45821</v>
      </c>
      <c r="B64" s="35" t="s">
        <v>66</v>
      </c>
      <c r="C64" s="35" t="s">
        <v>80</v>
      </c>
      <c r="D64" s="35" t="s">
        <v>81</v>
      </c>
      <c r="E64" s="35" t="s">
        <v>52</v>
      </c>
      <c r="F64" s="36">
        <v>3210.07</v>
      </c>
      <c r="G64" s="35" t="s">
        <v>69</v>
      </c>
      <c r="H64" s="35" t="s">
        <v>29</v>
      </c>
      <c r="I64" s="35" t="s">
        <v>53</v>
      </c>
      <c r="J64" s="35" t="s">
        <v>54</v>
      </c>
    </row>
    <row r="65" spans="1:10" ht="14.25" customHeight="1">
      <c r="A65" s="34">
        <v>45816</v>
      </c>
      <c r="B65" s="35" t="s">
        <v>58</v>
      </c>
      <c r="C65" s="35" t="s">
        <v>82</v>
      </c>
      <c r="D65" s="35" t="s">
        <v>83</v>
      </c>
      <c r="E65" s="35" t="s">
        <v>52</v>
      </c>
      <c r="F65" s="36">
        <v>6594.83</v>
      </c>
      <c r="G65" s="35" t="s">
        <v>32</v>
      </c>
      <c r="H65" s="35" t="s">
        <v>41</v>
      </c>
      <c r="I65" s="35" t="s">
        <v>53</v>
      </c>
      <c r="J65" s="35" t="s">
        <v>36</v>
      </c>
    </row>
    <row r="66" spans="1:10" ht="14.25" customHeight="1">
      <c r="A66" s="34">
        <v>45853</v>
      </c>
      <c r="B66" s="35" t="s">
        <v>58</v>
      </c>
      <c r="C66" s="35" t="s">
        <v>59</v>
      </c>
      <c r="D66" s="35" t="s">
        <v>60</v>
      </c>
      <c r="E66" s="35" t="s">
        <v>52</v>
      </c>
      <c r="F66" s="36">
        <v>7689.08</v>
      </c>
      <c r="G66" s="35" t="s">
        <v>32</v>
      </c>
      <c r="H66" s="35" t="s">
        <v>29</v>
      </c>
      <c r="I66" s="35" t="s">
        <v>38</v>
      </c>
      <c r="J66" s="35" t="s">
        <v>54</v>
      </c>
    </row>
    <row r="67" spans="1:10" ht="14.25" customHeight="1">
      <c r="A67" s="34">
        <v>45881</v>
      </c>
      <c r="B67" s="35" t="s">
        <v>61</v>
      </c>
      <c r="C67" s="35" t="s">
        <v>64</v>
      </c>
      <c r="D67" s="35" t="s">
        <v>65</v>
      </c>
      <c r="E67" s="35" t="s">
        <v>52</v>
      </c>
      <c r="F67" s="36">
        <v>5707.35</v>
      </c>
      <c r="G67" s="35" t="s">
        <v>57</v>
      </c>
      <c r="H67" s="35" t="s">
        <v>29</v>
      </c>
      <c r="I67" s="35" t="s">
        <v>38</v>
      </c>
      <c r="J67" s="35" t="s">
        <v>54</v>
      </c>
    </row>
    <row r="68" spans="1:10" ht="14.25" customHeight="1">
      <c r="A68" s="34">
        <v>45887</v>
      </c>
      <c r="B68" s="35" t="s">
        <v>72</v>
      </c>
      <c r="C68" s="35" t="s">
        <v>84</v>
      </c>
      <c r="D68" s="35" t="s">
        <v>85</v>
      </c>
      <c r="E68" s="35" t="s">
        <v>52</v>
      </c>
      <c r="F68" s="36">
        <v>7337.65</v>
      </c>
      <c r="G68" s="35" t="s">
        <v>57</v>
      </c>
      <c r="H68" s="35" t="s">
        <v>29</v>
      </c>
      <c r="I68" s="35" t="s">
        <v>38</v>
      </c>
      <c r="J68" s="35" t="s">
        <v>36</v>
      </c>
    </row>
    <row r="69" spans="1:10" ht="14.25" customHeight="1"/>
    <row r="70" spans="1:10" ht="14.25" customHeight="1"/>
    <row r="71" spans="1:10" ht="14.25" customHeight="1"/>
    <row r="72" spans="1:10" ht="14.25" customHeight="1"/>
    <row r="73" spans="1:10" ht="14.25" customHeight="1"/>
    <row r="74" spans="1:10" ht="14.25" customHeight="1"/>
    <row r="75" spans="1:10" ht="14.25" customHeight="1"/>
    <row r="76" spans="1:10" ht="14.25" customHeight="1"/>
    <row r="77" spans="1:10" ht="14.25" customHeight="1"/>
    <row r="78" spans="1:10" ht="14.25" customHeight="1"/>
    <row r="79" spans="1:10" ht="14.25" customHeight="1"/>
    <row r="80" spans="1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16:G17 G19:G68">
    <cfRule type="containsText" dxfId="0" priority="1" operator="containsText" text="Depósito">
      <formula>NOT(ISERROR(SEARCH(("Depósito"),(G16))))</formula>
    </cfRule>
  </conditionalFormatting>
  <dataValidations count="2">
    <dataValidation type="list" allowBlank="1" showErrorMessage="1" sqref="G16:G17 G20:G45" xr:uid="{00000000-0002-0000-0400-000000000000}">
      <formula1>"Depósito,Transferencia,Efectivo,PayPal"</formula1>
    </dataValidation>
    <dataValidation type="list" allowBlank="1" showInputMessage="1" showErrorMessage="1" prompt="Dato incorrecto - Ingresa únicamente un dato entre las posibles opciones " sqref="G19" xr:uid="{00000000-0002-0000-0400-000001000000}">
      <formula1>"Depósito,Transferencia,Efectivo,PayPal"</formula1>
    </dataValidation>
  </dataValidations>
  <pageMargins left="0.70866141732283472" right="0.47244094488188981" top="0.31496062992125984" bottom="0.27559055118110237" header="0" footer="0"/>
  <pageSetup paperSize="9" fitToHeight="0"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2.625" defaultRowHeight="15" customHeight="1"/>
  <cols>
    <col min="1" max="1" width="17.25" customWidth="1"/>
    <col min="2" max="2" width="14.375" customWidth="1"/>
    <col min="3" max="26" width="10.625" customWidth="1"/>
  </cols>
  <sheetData>
    <row r="1" spans="1:2" ht="14.25" customHeight="1">
      <c r="A1" s="37" t="s">
        <v>18</v>
      </c>
      <c r="B1" s="3" t="s">
        <v>135</v>
      </c>
    </row>
    <row r="2" spans="1:2" ht="14.25" customHeight="1"/>
    <row r="3" spans="1:2" ht="14.25" customHeight="1">
      <c r="A3" s="37" t="s">
        <v>136</v>
      </c>
      <c r="B3" s="3" t="s">
        <v>137</v>
      </c>
    </row>
    <row r="4" spans="1:2" ht="14.25" customHeight="1">
      <c r="A4" s="38" t="s">
        <v>138</v>
      </c>
      <c r="B4" s="39">
        <v>40569.42</v>
      </c>
    </row>
    <row r="5" spans="1:2" ht="14.25" customHeight="1">
      <c r="A5" s="38" t="s">
        <v>139</v>
      </c>
      <c r="B5" s="39">
        <v>73895.460000000006</v>
      </c>
    </row>
    <row r="6" spans="1:2" ht="14.25" customHeight="1">
      <c r="A6" s="38" t="s">
        <v>140</v>
      </c>
      <c r="B6" s="39">
        <v>137503.16</v>
      </c>
    </row>
    <row r="7" spans="1:2" ht="14.25" customHeight="1">
      <c r="A7" s="38" t="s">
        <v>141</v>
      </c>
      <c r="B7" s="39">
        <v>251968.04</v>
      </c>
    </row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>
      <c r="A15" s="37" t="s">
        <v>136</v>
      </c>
      <c r="B15" s="3" t="s">
        <v>137</v>
      </c>
    </row>
    <row r="16" spans="1:2" ht="14.25" customHeight="1">
      <c r="A16" s="38" t="s">
        <v>49</v>
      </c>
      <c r="B16" s="39">
        <v>14046.02</v>
      </c>
    </row>
    <row r="17" spans="1:2" ht="14.25" customHeight="1">
      <c r="A17" s="38" t="s">
        <v>24</v>
      </c>
      <c r="B17" s="39">
        <v>213035.8</v>
      </c>
    </row>
    <row r="18" spans="1:2" ht="14.25" customHeight="1">
      <c r="A18" s="38" t="s">
        <v>66</v>
      </c>
      <c r="B18" s="39">
        <v>22492.68</v>
      </c>
    </row>
    <row r="19" spans="1:2" ht="14.25" customHeight="1">
      <c r="A19" s="38" t="s">
        <v>75</v>
      </c>
      <c r="B19" s="39">
        <v>2393.54</v>
      </c>
    </row>
    <row r="20" spans="1:2" ht="14.25" customHeight="1">
      <c r="A20" s="38" t="s">
        <v>141</v>
      </c>
      <c r="B20" s="39">
        <v>251968.03999999998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>
      <c r="A29" s="37" t="s">
        <v>136</v>
      </c>
      <c r="B29" s="3" t="s">
        <v>137</v>
      </c>
    </row>
    <row r="30" spans="1:2" ht="14.25" customHeight="1">
      <c r="A30" s="38" t="s">
        <v>69</v>
      </c>
      <c r="B30" s="39">
        <v>20978.29</v>
      </c>
    </row>
    <row r="31" spans="1:2" ht="14.25" customHeight="1">
      <c r="A31" s="38" t="s">
        <v>33</v>
      </c>
      <c r="B31" s="39">
        <v>43581.09</v>
      </c>
    </row>
    <row r="32" spans="1:2" ht="14.25" customHeight="1">
      <c r="A32" s="38" t="s">
        <v>28</v>
      </c>
      <c r="B32" s="39">
        <v>68757.39</v>
      </c>
    </row>
    <row r="33" spans="1:2" ht="14.25" customHeight="1">
      <c r="A33" s="38" t="s">
        <v>35</v>
      </c>
      <c r="B33" s="39">
        <v>31768.050000000003</v>
      </c>
    </row>
    <row r="34" spans="1:2" ht="14.25" customHeight="1">
      <c r="A34" s="38" t="s">
        <v>57</v>
      </c>
      <c r="B34" s="39">
        <v>8935.0299999999988</v>
      </c>
    </row>
    <row r="35" spans="1:2" ht="14.25" customHeight="1">
      <c r="A35" s="38" t="s">
        <v>32</v>
      </c>
      <c r="B35" s="39">
        <v>77948.19</v>
      </c>
    </row>
    <row r="36" spans="1:2" ht="14.25" customHeight="1">
      <c r="A36" s="38" t="s">
        <v>141</v>
      </c>
      <c r="B36" s="39">
        <v>251968.04</v>
      </c>
    </row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Ingresos</vt:lpstr>
      <vt:lpstr>Gastos</vt:lpstr>
      <vt:lpstr>Ingresos y Gastos</vt:lpstr>
      <vt:lpstr>Resumen</vt:lpstr>
      <vt:lpstr>Concentrado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2025-07-01T15:51:39Z</dcterms:created>
  <dcterms:modified xsi:type="dcterms:W3CDTF">2026-01-30T04:24:27Z</dcterms:modified>
</cp:coreProperties>
</file>